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mc:AlternateContent xmlns:mc="http://schemas.openxmlformats.org/markup-compatibility/2006">
    <mc:Choice Requires="x15">
      <x15ac:absPath xmlns:x15ac="http://schemas.microsoft.com/office/spreadsheetml/2010/11/ac" url="C:\Users\Liev\Downloads\"/>
    </mc:Choice>
  </mc:AlternateContent>
  <xr:revisionPtr revIDLastSave="0" documentId="13_ncr:1_{D60733BC-E82B-4608-807A-BC00C2FE8A1F}" xr6:coauthVersionLast="46" xr6:coauthVersionMax="46" xr10:uidLastSave="{00000000-0000-0000-0000-000000000000}"/>
  <bookViews>
    <workbookView xWindow="28680" yWindow="-120" windowWidth="29040" windowHeight="15840" activeTab="2" xr2:uid="{00000000-000D-0000-FFFF-FFFF00000000}"/>
  </bookViews>
  <sheets>
    <sheet name="HowToSelectASplitForAnn.Income" sheetId="1" r:id="rId1"/>
    <sheet name="IncomeDiscretisatedInverseGauss" sheetId="2" r:id="rId2"/>
    <sheet name="Income Discretised ReversPareto" sheetId="5" r:id="rId3"/>
  </sheets>
  <externalReferences>
    <externalReference r:id="rId4"/>
  </externalReferences>
  <definedNames>
    <definedName name="_Key1" hidden="1">'[1]3.13'!#REF!</definedName>
    <definedName name="_Order1" hidden="1">255</definedName>
    <definedName name="_Sort" hidden="1">'[1]3.13'!#REF!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 i="2" l="1"/>
  <c r="J7" i="2"/>
  <c r="J11" i="2"/>
  <c r="J4" i="2"/>
  <c r="J13" i="2"/>
  <c r="W104" i="5"/>
  <c r="W103" i="5"/>
  <c r="W102" i="5"/>
  <c r="W101" i="5"/>
  <c r="W100" i="5"/>
  <c r="W99" i="5"/>
  <c r="W98" i="5"/>
  <c r="W97" i="5"/>
  <c r="W96" i="5"/>
  <c r="W95" i="5"/>
  <c r="W94" i="5"/>
  <c r="W93" i="5"/>
  <c r="W92" i="5"/>
  <c r="W91" i="5"/>
  <c r="W90" i="5"/>
  <c r="W89" i="5"/>
  <c r="W88" i="5"/>
  <c r="W87" i="5"/>
  <c r="W86" i="5"/>
  <c r="W85" i="5"/>
  <c r="W84" i="5"/>
  <c r="W83" i="5"/>
  <c r="W82" i="5"/>
  <c r="W81" i="5"/>
  <c r="W80" i="5"/>
  <c r="W79" i="5"/>
  <c r="W78" i="5"/>
  <c r="W77" i="5"/>
  <c r="W76" i="5"/>
  <c r="W75" i="5"/>
  <c r="W74" i="5"/>
  <c r="W73" i="5"/>
  <c r="W72" i="5"/>
  <c r="W71" i="5"/>
  <c r="W70" i="5"/>
  <c r="W69" i="5"/>
  <c r="W68" i="5"/>
  <c r="W67" i="5"/>
  <c r="W66" i="5"/>
  <c r="W65" i="5"/>
  <c r="W64" i="5"/>
  <c r="W63" i="5"/>
  <c r="W62" i="5"/>
  <c r="W61" i="5"/>
  <c r="W60" i="5"/>
  <c r="W59" i="5"/>
  <c r="W58" i="5"/>
  <c r="W57" i="5"/>
  <c r="W56" i="5"/>
  <c r="W55" i="5"/>
  <c r="W54" i="5"/>
  <c r="W53" i="5"/>
  <c r="W52" i="5"/>
  <c r="W51" i="5"/>
  <c r="W50" i="5"/>
  <c r="W49" i="5"/>
  <c r="W48" i="5"/>
  <c r="W47" i="5"/>
  <c r="W46" i="5"/>
  <c r="W45" i="5"/>
  <c r="W44" i="5"/>
  <c r="W43" i="5"/>
  <c r="W42" i="5"/>
  <c r="W41" i="5"/>
  <c r="W40" i="5"/>
  <c r="W39" i="5"/>
  <c r="W38" i="5"/>
  <c r="W37" i="5"/>
  <c r="W36" i="5"/>
  <c r="W35" i="5"/>
  <c r="W34" i="5"/>
  <c r="W33" i="5"/>
  <c r="W32" i="5"/>
  <c r="W31" i="5"/>
  <c r="W30" i="5"/>
  <c r="W29" i="5"/>
  <c r="W28" i="5"/>
  <c r="W27" i="5"/>
  <c r="W26" i="5"/>
  <c r="W25" i="5"/>
  <c r="W24" i="5"/>
  <c r="W23" i="5"/>
  <c r="W22" i="5"/>
  <c r="W21" i="5"/>
  <c r="W20" i="5"/>
  <c r="W19" i="5"/>
  <c r="W18" i="5"/>
  <c r="W17" i="5"/>
  <c r="W16" i="5"/>
  <c r="W15" i="5"/>
  <c r="W14" i="5"/>
  <c r="W13" i="5"/>
  <c r="W12" i="5"/>
  <c r="W11" i="5"/>
  <c r="W10" i="5"/>
  <c r="W9" i="5"/>
  <c r="W8" i="5"/>
  <c r="W7" i="5"/>
  <c r="C4" i="2"/>
  <c r="B5" i="2" s="1"/>
  <c r="C5" i="2" s="1"/>
  <c r="B6" i="2" s="1"/>
  <c r="C6" i="2" s="1"/>
  <c r="B7" i="2" s="1"/>
  <c r="C7" i="2" s="1"/>
  <c r="B8" i="2" s="1"/>
  <c r="C8" i="2" s="1"/>
  <c r="B9" i="2" s="1"/>
  <c r="C9" i="2" s="1"/>
  <c r="B11" i="2" s="1"/>
  <c r="C11" i="2" s="1"/>
  <c r="B12" i="2" s="1"/>
  <c r="C12" i="2" s="1"/>
  <c r="B13" i="2" s="1"/>
  <c r="C13" i="2" s="1"/>
  <c r="I11" i="2" l="1"/>
  <c r="I5" i="2"/>
  <c r="I13" i="2"/>
  <c r="I4" i="2"/>
  <c r="B10" i="2"/>
  <c r="C10" i="2" s="1"/>
  <c r="I7" i="2" s="1"/>
  <c r="E9" i="2"/>
  <c r="E8" i="2"/>
  <c r="E7" i="2"/>
  <c r="E11" i="2"/>
  <c r="E6" i="2"/>
  <c r="E5" i="2"/>
  <c r="E13" i="2"/>
  <c r="E4" i="2"/>
  <c r="E12" i="2"/>
  <c r="AC9" i="1"/>
  <c r="AC10" i="1" s="1"/>
  <c r="AC7" i="1"/>
  <c r="AC8" i="1" s="1"/>
  <c r="AB5" i="1"/>
  <c r="Z6" i="1" s="1"/>
  <c r="Z5" i="1"/>
  <c r="X5" i="1"/>
  <c r="Y6" i="1" s="1"/>
  <c r="V5" i="1"/>
  <c r="T5" i="1"/>
  <c r="R5" i="1"/>
  <c r="P5" i="1"/>
  <c r="N5" i="1"/>
  <c r="O6" i="1" s="1"/>
  <c r="L5" i="1"/>
  <c r="J5" i="1"/>
  <c r="AB4" i="1"/>
  <c r="AA9" i="1" s="1"/>
  <c r="Z4" i="1"/>
  <c r="X4" i="1"/>
  <c r="V4" i="1"/>
  <c r="T4" i="1"/>
  <c r="S9" i="1" s="1"/>
  <c r="R4" i="1"/>
  <c r="P4" i="1"/>
  <c r="N4" i="1"/>
  <c r="L4" i="1"/>
  <c r="J4" i="1"/>
  <c r="L7" i="1" s="1"/>
  <c r="AC12" i="1" l="1"/>
  <c r="S6" i="1"/>
  <c r="U6" i="1"/>
  <c r="Q6" i="1"/>
  <c r="T6" i="1"/>
  <c r="V6" i="1"/>
  <c r="Q7" i="1"/>
  <c r="K9" i="1"/>
  <c r="J9" i="1"/>
  <c r="X6" i="1"/>
  <c r="O7" i="1"/>
  <c r="L6" i="1"/>
  <c r="U7" i="1"/>
  <c r="W9" i="1"/>
  <c r="X9" i="1"/>
  <c r="Y7" i="1"/>
  <c r="W6" i="1"/>
  <c r="W7" i="1"/>
  <c r="M9" i="1"/>
  <c r="R9" i="1"/>
  <c r="U9" i="1"/>
  <c r="U10" i="1" s="1"/>
  <c r="Z9" i="1"/>
  <c r="AB7" i="1"/>
  <c r="K7" i="1"/>
  <c r="K8" i="1" s="1"/>
  <c r="S7" i="1"/>
  <c r="S10" i="1" s="1"/>
  <c r="AA7" i="1"/>
  <c r="I9" i="1"/>
  <c r="Q9" i="1"/>
  <c r="Y9" i="1"/>
  <c r="M7" i="1"/>
  <c r="N6" i="1"/>
  <c r="N7" i="1"/>
  <c r="V7" i="1"/>
  <c r="L9" i="1"/>
  <c r="L10" i="1" s="1"/>
  <c r="T9" i="1"/>
  <c r="AB9" i="1"/>
  <c r="T7" i="1"/>
  <c r="P6" i="1"/>
  <c r="P7" i="1"/>
  <c r="X7" i="1"/>
  <c r="N9" i="1"/>
  <c r="V9" i="1"/>
  <c r="R6" i="1"/>
  <c r="I7" i="1"/>
  <c r="O9" i="1"/>
  <c r="J7" i="1"/>
  <c r="J8" i="1" s="1"/>
  <c r="R7" i="1"/>
  <c r="Z7" i="1"/>
  <c r="P9" i="1"/>
  <c r="M6" i="1"/>
  <c r="J6" i="1"/>
  <c r="K6" i="1"/>
  <c r="AA6" i="1"/>
  <c r="AC6" i="1"/>
  <c r="AB6" i="1"/>
  <c r="E10" i="2"/>
  <c r="Q10" i="1" l="1"/>
  <c r="W8" i="1"/>
  <c r="U8" i="1"/>
  <c r="N10" i="1"/>
  <c r="P10" i="1"/>
  <c r="K10" i="1"/>
  <c r="Y10" i="1"/>
  <c r="M10" i="1"/>
  <c r="O10" i="1"/>
  <c r="V10" i="1"/>
  <c r="AB10" i="1"/>
  <c r="T10" i="1"/>
  <c r="I10" i="1"/>
  <c r="W10" i="1"/>
  <c r="W12" i="1" s="1"/>
  <c r="Z10" i="1"/>
  <c r="R8" i="1"/>
  <c r="R11" i="1"/>
  <c r="P8" i="1"/>
  <c r="P11" i="1"/>
  <c r="V11" i="1"/>
  <c r="V8" i="1"/>
  <c r="S8" i="1"/>
  <c r="S12" i="1" s="1"/>
  <c r="S11" i="1"/>
  <c r="R10" i="1"/>
  <c r="Y11" i="1"/>
  <c r="X8" i="1"/>
  <c r="X11" i="1"/>
  <c r="J11" i="1"/>
  <c r="N11" i="1"/>
  <c r="N8" i="1"/>
  <c r="N12" i="1" s="1"/>
  <c r="K11" i="1"/>
  <c r="Q11" i="1"/>
  <c r="Y8" i="1"/>
  <c r="AA8" i="1"/>
  <c r="AA11" i="1"/>
  <c r="AB8" i="1"/>
  <c r="AC11" i="1"/>
  <c r="AB11" i="1"/>
  <c r="Q8" i="1"/>
  <c r="Q12" i="1" s="1"/>
  <c r="I8" i="1"/>
  <c r="T8" i="1"/>
  <c r="T11" i="1"/>
  <c r="M8" i="1"/>
  <c r="M11" i="1"/>
  <c r="W11" i="1"/>
  <c r="L8" i="1"/>
  <c r="L12" i="1" s="1"/>
  <c r="O11" i="1"/>
  <c r="L11" i="1"/>
  <c r="U11" i="1"/>
  <c r="J10" i="1"/>
  <c r="AA10" i="1"/>
  <c r="Z8" i="1"/>
  <c r="Z11" i="1"/>
  <c r="U12" i="1"/>
  <c r="O8" i="1"/>
  <c r="O12" i="1" s="1"/>
  <c r="X10" i="1"/>
  <c r="P12" i="1" l="1"/>
  <c r="P13" i="1" s="1"/>
  <c r="Y12" i="1"/>
  <c r="M12" i="1"/>
  <c r="L13" i="1" s="1"/>
  <c r="V12" i="1"/>
  <c r="V13" i="1" s="1"/>
  <c r="T12" i="1"/>
  <c r="T13" i="1" s="1"/>
  <c r="AB12" i="1"/>
  <c r="AB13" i="1" s="1"/>
  <c r="Z12" i="1"/>
  <c r="I12" i="1"/>
  <c r="I13" i="1" s="1"/>
  <c r="N14" i="1" s="1"/>
  <c r="AA12" i="1"/>
  <c r="J12" i="1"/>
  <c r="X12" i="1"/>
  <c r="X13" i="1" s="1"/>
  <c r="N13" i="1"/>
  <c r="R12" i="1"/>
  <c r="R13" i="1" s="1"/>
  <c r="T14" i="1" l="1"/>
  <c r="X14" i="1"/>
  <c r="AB14" i="1"/>
  <c r="Z13" i="1"/>
  <c r="Z14" i="1" s="1"/>
  <c r="P14" i="1"/>
  <c r="V14" i="1"/>
  <c r="R14" i="1"/>
  <c r="L14" i="1"/>
  <c r="K12" i="1"/>
  <c r="J13" i="1" s="1"/>
  <c r="T15" i="1" l="1"/>
  <c r="J14" i="1"/>
  <c r="J15" i="1"/>
</calcChain>
</file>

<file path=xl/sharedStrings.xml><?xml version="1.0" encoding="utf-8"?>
<sst xmlns="http://schemas.openxmlformats.org/spreadsheetml/2006/main" count="162" uniqueCount="114">
  <si>
    <t>No</t>
  </si>
  <si>
    <t>Yes</t>
  </si>
  <si>
    <t>Annual Income(Sorted )</t>
  </si>
  <si>
    <t>pr(Yes)</t>
  </si>
  <si>
    <t>pr(No)</t>
  </si>
  <si>
    <t>No (¬staisfy abv cond)</t>
  </si>
  <si>
    <t>weight</t>
  </si>
  <si>
    <t>Gini impurity</t>
  </si>
  <si>
    <t>Gini Index</t>
  </si>
  <si>
    <t>ID</t>
  </si>
  <si>
    <t>Single</t>
  </si>
  <si>
    <t>Married</t>
  </si>
  <si>
    <t>Divorced</t>
  </si>
  <si>
    <t>Defaulted Borrower</t>
  </si>
  <si>
    <t>The Dataset sorted according to Annual Income</t>
  </si>
  <si>
    <t>Final Criteria for Splitting</t>
  </si>
  <si>
    <t>Choosing the best split condition for a continous variable (Annual Income)</t>
  </si>
  <si>
    <t>Information Gain</t>
  </si>
  <si>
    <t>All Data</t>
  </si>
  <si>
    <t>Split Condition</t>
  </si>
  <si>
    <t>Home Owner</t>
  </si>
  <si>
    <t>Annual Income</t>
  </si>
  <si>
    <t>Marital Status</t>
  </si>
  <si>
    <t>Basic</t>
  </si>
  <si>
    <t>Top</t>
  </si>
  <si>
    <t>Category</t>
  </si>
  <si>
    <t>Band</t>
  </si>
  <si>
    <t>Taxpayers only</t>
  </si>
  <si>
    <t>Percentile points from 1 to 99 for total income before and after tax, for tax year 1999 to 2000 to tax year 2017 to 2018</t>
  </si>
  <si>
    <t>Amounts: £</t>
  </si>
  <si>
    <t>Percentile point
Total income before tax</t>
  </si>
  <si>
    <t>1999-00</t>
  </si>
  <si>
    <t>2000-01</t>
  </si>
  <si>
    <t>2001-02</t>
  </si>
  <si>
    <t>2002-03</t>
  </si>
  <si>
    <t>2003-04</t>
  </si>
  <si>
    <t>2004-05</t>
  </si>
  <si>
    <t>2005-06</t>
  </si>
  <si>
    <t>2006-07</t>
  </si>
  <si>
    <t>2007-08</t>
  </si>
  <si>
    <r>
      <t xml:space="preserve">2008-09 </t>
    </r>
    <r>
      <rPr>
        <vertAlign val="superscript"/>
        <sz val="8"/>
        <rFont val="Arial"/>
        <family val="2"/>
      </rPr>
      <t>(a)</t>
    </r>
  </si>
  <si>
    <t>2009-10</t>
  </si>
  <si>
    <t>2010-11</t>
  </si>
  <si>
    <t>2011-12</t>
  </si>
  <si>
    <t>2012-13</t>
  </si>
  <si>
    <t>2013-14</t>
  </si>
  <si>
    <t>2014-15</t>
  </si>
  <si>
    <t>2015-16</t>
  </si>
  <si>
    <t>2016-17</t>
  </si>
  <si>
    <t>2017-18</t>
  </si>
  <si>
    <t>Increments</t>
  </si>
  <si>
    <t>Percentile point
Total income after tax</t>
  </si>
  <si>
    <t>Source: Survey of Personal Incomes (SPI) tax year 2017 to 2018</t>
  </si>
  <si>
    <t>Table updated June 2020</t>
  </si>
  <si>
    <t>This table was originally published in March 2020.  Following the identification of an error in the imputation process it was updated and re-published in June 2020. For more information please see the Personal Incomes Statistics supporting documentation.</t>
  </si>
  <si>
    <t>Footnote</t>
  </si>
  <si>
    <t>(a)</t>
  </si>
  <si>
    <t>Figures for the 2008 to 2009 tax year are not currently available.</t>
  </si>
  <si>
    <t>Notes on the Table</t>
  </si>
  <si>
    <t>Percentile points for total income before and after tax, for tax year 1992 to 1993 to tax year 2017 to 2018</t>
  </si>
  <si>
    <t>1.</t>
  </si>
  <si>
    <t>This table gives certain percentile points of the income distribution as estimated from the Survey of Personal Incomes (SPI) for each survey year shown.  The table only covers individuals who have some liability to income tax.  The percentile points have been independently calculated on total income before tax and total income after tax.</t>
  </si>
  <si>
    <t>2.</t>
  </si>
  <si>
    <t>Total income is the sum of all income subject to tax for the year (see the Income tax statistics and distributions introduction). For most types of income this is approximately the same as income that is earned in the tax year but this is not the case for self-employment income (see the notes on the tables for 3.9 and 3.10) and some other kinds of income.</t>
  </si>
  <si>
    <t>3.</t>
  </si>
  <si>
    <t>For more information about the SPI and symbols used in this table, please refer to:</t>
  </si>
  <si>
    <t>Personal Income Statistics release</t>
  </si>
  <si>
    <t>Contact point for enquiries</t>
  </si>
  <si>
    <t>Melanie Whent</t>
  </si>
  <si>
    <t>Knowledge, Analysis &amp; Intelligence</t>
  </si>
  <si>
    <t>HM Revenue and Customs</t>
  </si>
  <si>
    <t>Rooms 3E/01-3E/04</t>
  </si>
  <si>
    <t>100 Parliament Street</t>
  </si>
  <si>
    <t xml:space="preserve">LONDON </t>
  </si>
  <si>
    <t>SW1A 2BQ</t>
  </si>
  <si>
    <t>Phone: 03000 586 132</t>
  </si>
  <si>
    <t>Email: spi.enquiries@hmrc.gsi.gov.uk</t>
  </si>
  <si>
    <t>For more general enquiries please refer to the HMRC website:</t>
  </si>
  <si>
    <t>www.hmrc.gov.uk</t>
  </si>
  <si>
    <t>A NATIONAL STATISTICS PUBLICATION</t>
  </si>
  <si>
    <t>National Statistics are produced to high professional standards set out in the Code of Practice for Official Statistics. They undergo regular quality assurance reviews to ensure that they meet customer needs. They are produced free from any political interference.</t>
  </si>
  <si>
    <t>For general enquiries about National Statistics, contact the National Statistics Public Enquiry Service on</t>
  </si>
  <si>
    <t>Phone: 0845 601 3034</t>
  </si>
  <si>
    <t>Overseas: +44 (1633) 653 599</t>
  </si>
  <si>
    <t>Minicom: 01633 812399</t>
  </si>
  <si>
    <t>E-mail: info@statistics.gov.uk</t>
  </si>
  <si>
    <t>Fax: 01633 652747</t>
  </si>
  <si>
    <t>Letters: Customer Contact Centre, Room 1.015, Cardiff Road, Newport, NP10 8XG</t>
  </si>
  <si>
    <t xml:space="preserve">You can also find National Statistics on the internet at </t>
  </si>
  <si>
    <t>www.statistics.gov.uk</t>
  </si>
  <si>
    <t>Intermediary L</t>
  </si>
  <si>
    <t>Intermediary H</t>
  </si>
  <si>
    <t>Advanced L</t>
  </si>
  <si>
    <t>Advanced M</t>
  </si>
  <si>
    <t>Advanced H</t>
  </si>
  <si>
    <t>High L</t>
  </si>
  <si>
    <t>High H</t>
  </si>
  <si>
    <t>Category Range</t>
  </si>
  <si>
    <t>Band Range</t>
  </si>
  <si>
    <t>Start £K</t>
  </si>
  <si>
    <t>End £K</t>
  </si>
  <si>
    <t>Intermediary</t>
  </si>
  <si>
    <t>Advanced</t>
  </si>
  <si>
    <t>High</t>
  </si>
  <si>
    <t>Band width £K</t>
  </si>
  <si>
    <t>Categ. width £K</t>
  </si>
  <si>
    <t>Band Category No</t>
  </si>
  <si>
    <t>Advanced T</t>
  </si>
  <si>
    <t>Salary Bands</t>
  </si>
  <si>
    <t>Salary Band Categories</t>
  </si>
  <si>
    <t>Try changing some Default Borrrower labels and see the effect (ex. Change the borrower with ID 4 into Yes). Note that the sheet is protected but there is no password. You can unlock it and change the formulas in the Best Split area.</t>
  </si>
  <si>
    <t>Note that removing sorting by Annual Income invalidates all the split calculations.</t>
  </si>
  <si>
    <t>Yes (satisfy abv cond)</t>
  </si>
  <si>
    <t>Please note the charts and increments shown on the right are not from the Office for National Statistics, but have been created for the module.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</si>
</sst>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0\)"/>
  </numFmts>
  <fonts count="23" x14ac:knownFonts="1">
    <font>
      <sz val="10"/>
      <color theme="1"/>
      <name val="Arial"/>
      <family val="2"/>
    </font>
    <font>
      <b/>
      <sz val="10"/>
      <color theme="1"/>
      <name val="Arial"/>
      <family val="2"/>
    </font>
    <font>
      <b/>
      <sz val="10"/>
      <color rgb="FFFF0000"/>
      <name val="Arial"/>
      <family val="2"/>
    </font>
    <font>
      <i/>
      <sz val="10"/>
      <color theme="1"/>
      <name val="Arial"/>
      <family val="2"/>
    </font>
    <font>
      <i/>
      <sz val="9"/>
      <color theme="1"/>
      <name val="Arial"/>
      <family val="2"/>
    </font>
    <font>
      <sz val="8"/>
      <color theme="1"/>
      <name val="Arial"/>
      <family val="2"/>
    </font>
    <font>
      <sz val="9"/>
      <color theme="1"/>
      <name val="Arial"/>
      <family val="2"/>
    </font>
    <font>
      <b/>
      <sz val="12"/>
      <name val="Arial"/>
      <family val="2"/>
    </font>
    <font>
      <b/>
      <sz val="18"/>
      <color theme="1"/>
      <name val="Arial"/>
      <family val="2"/>
    </font>
    <font>
      <b/>
      <sz val="16"/>
      <color theme="1"/>
      <name val="Arial"/>
      <family val="2"/>
    </font>
    <font>
      <b/>
      <sz val="12"/>
      <color rgb="FFC00000"/>
      <name val="Arial"/>
      <family val="2"/>
    </font>
    <font>
      <i/>
      <sz val="10"/>
      <color rgb="FFC00000"/>
      <name val="Arial"/>
      <family val="2"/>
    </font>
    <font>
      <sz val="11"/>
      <color theme="1"/>
      <name val="Calibri"/>
      <family val="2"/>
      <scheme val="minor"/>
    </font>
    <font>
      <b/>
      <sz val="26"/>
      <name val="Arial"/>
      <family val="2"/>
    </font>
    <font>
      <sz val="8"/>
      <name val="Arial"/>
      <family val="2"/>
    </font>
    <font>
      <b/>
      <sz val="11"/>
      <color theme="4"/>
      <name val="Arial"/>
      <family val="2"/>
    </font>
    <font>
      <sz val="10"/>
      <name val="Arial"/>
      <family val="2"/>
    </font>
    <font>
      <vertAlign val="superscript"/>
      <sz val="8"/>
      <name val="Arial"/>
      <family val="2"/>
    </font>
    <font>
      <b/>
      <sz val="11"/>
      <color theme="1"/>
      <name val="Calibri"/>
      <family val="2"/>
      <scheme val="minor"/>
    </font>
    <font>
      <u/>
      <sz val="10"/>
      <color indexed="12"/>
      <name val="Arial"/>
      <family val="2"/>
    </font>
    <font>
      <sz val="9"/>
      <name val="Arial"/>
      <family val="2"/>
    </font>
    <font>
      <b/>
      <sz val="9"/>
      <name val="Arial"/>
      <family val="2"/>
    </font>
    <font>
      <u/>
      <sz val="9"/>
      <color indexed="12"/>
      <name val="Arial"/>
      <family val="2"/>
    </font>
  </fonts>
  <fills count="5">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
      <patternFill patternType="solid">
        <fgColor indexed="9"/>
        <bgColor indexed="64"/>
      </patternFill>
    </fill>
  </fills>
  <borders count="36">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bottom style="thin">
        <color theme="2"/>
      </bottom>
      <diagonal/>
    </border>
    <border>
      <left style="medium">
        <color indexed="64"/>
      </left>
      <right/>
      <top/>
      <bottom style="thin">
        <color theme="2"/>
      </bottom>
      <diagonal/>
    </border>
    <border>
      <left/>
      <right style="medium">
        <color indexed="64"/>
      </right>
      <top/>
      <bottom style="thin">
        <color theme="2"/>
      </bottom>
      <diagonal/>
    </border>
    <border>
      <left/>
      <right/>
      <top style="thin">
        <color indexed="64"/>
      </top>
      <bottom/>
      <diagonal/>
    </border>
    <border>
      <left/>
      <right/>
      <top/>
      <bottom style="thin">
        <color indexed="64"/>
      </bottom>
      <diagonal/>
    </border>
    <border>
      <left/>
      <right/>
      <top style="medium">
        <color indexed="64"/>
      </top>
      <bottom/>
      <diagonal/>
    </border>
    <border>
      <left/>
      <right/>
      <top style="medium">
        <color indexed="64"/>
      </top>
      <bottom style="thin">
        <color indexed="64"/>
      </bottom>
      <diagonal/>
    </border>
    <border>
      <left style="thin">
        <color indexed="64"/>
      </left>
      <right/>
      <top style="medium">
        <color indexed="64"/>
      </top>
      <bottom style="medium">
        <color indexed="64"/>
      </bottom>
      <diagonal/>
    </border>
  </borders>
  <cellStyleXfs count="4">
    <xf numFmtId="0" fontId="0" fillId="0" borderId="0"/>
    <xf numFmtId="0" fontId="12" fillId="0" borderId="0"/>
    <xf numFmtId="9" fontId="16" fillId="0" borderId="0" applyFont="0" applyFill="0" applyBorder="0" applyAlignment="0" applyProtection="0"/>
    <xf numFmtId="0" fontId="19" fillId="0" borderId="0" applyNumberFormat="0" applyFill="0" applyBorder="0" applyAlignment="0" applyProtection="0">
      <alignment vertical="top"/>
      <protection locked="0"/>
    </xf>
  </cellStyleXfs>
  <cellXfs count="186">
    <xf numFmtId="0" fontId="0" fillId="0" borderId="0" xfId="0"/>
    <xf numFmtId="0" fontId="0" fillId="0" borderId="0" xfId="0" applyBorder="1" applyAlignment="1"/>
    <xf numFmtId="0" fontId="2" fillId="0" borderId="0" xfId="0" applyFont="1"/>
    <xf numFmtId="1" fontId="0" fillId="0" borderId="6" xfId="0" applyNumberFormat="1" applyBorder="1" applyAlignment="1">
      <alignment horizontal="center" vertical="center"/>
    </xf>
    <xf numFmtId="1" fontId="0" fillId="0" borderId="7" xfId="0" applyNumberFormat="1" applyBorder="1" applyAlignment="1">
      <alignment horizontal="center" vertical="center"/>
    </xf>
    <xf numFmtId="0" fontId="7" fillId="0" borderId="8" xfId="0" applyFont="1" applyBorder="1" applyAlignment="1">
      <alignment horizontal="center" vertical="center"/>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3" xfId="0" applyFont="1" applyBorder="1" applyAlignment="1">
      <alignment horizontal="center" vertical="center"/>
    </xf>
    <xf numFmtId="0" fontId="5" fillId="0" borderId="0" xfId="0" applyFont="1" applyAlignment="1">
      <alignment wrapText="1"/>
    </xf>
    <xf numFmtId="12" fontId="4" fillId="0" borderId="10" xfId="0" applyNumberFormat="1" applyFont="1" applyBorder="1" applyAlignment="1">
      <alignment horizontal="right" vertical="center"/>
    </xf>
    <xf numFmtId="12" fontId="4" fillId="0" borderId="11" xfId="0" applyNumberFormat="1" applyFont="1" applyBorder="1" applyAlignment="1">
      <alignment horizontal="right" vertical="center"/>
    </xf>
    <xf numFmtId="12" fontId="4" fillId="0" borderId="12" xfId="0" applyNumberFormat="1" applyFont="1" applyBorder="1" applyAlignment="1">
      <alignment horizontal="right" vertical="center"/>
    </xf>
    <xf numFmtId="12" fontId="4" fillId="0" borderId="13" xfId="0" applyNumberFormat="1" applyFont="1" applyBorder="1" applyAlignment="1">
      <alignment horizontal="right" vertical="center"/>
    </xf>
    <xf numFmtId="0" fontId="1" fillId="0" borderId="24" xfId="0" applyFont="1" applyBorder="1"/>
    <xf numFmtId="0" fontId="1" fillId="0" borderId="25" xfId="0" applyFont="1" applyBorder="1" applyAlignment="1">
      <alignment horizontal="right"/>
    </xf>
    <xf numFmtId="0" fontId="1" fillId="0" borderId="26" xfId="0" applyFont="1" applyBorder="1"/>
    <xf numFmtId="0" fontId="1" fillId="0" borderId="26" xfId="0" applyFont="1" applyBorder="1" applyAlignment="1">
      <alignment horizontal="right"/>
    </xf>
    <xf numFmtId="0" fontId="1" fillId="2" borderId="23" xfId="0" applyFont="1" applyFill="1" applyBorder="1" applyAlignment="1">
      <alignment horizontal="center" vertical="center" wrapText="1"/>
    </xf>
    <xf numFmtId="0" fontId="1" fillId="0" borderId="4" xfId="0" applyFont="1" applyFill="1" applyBorder="1"/>
    <xf numFmtId="0" fontId="3" fillId="2" borderId="7" xfId="0" applyFont="1" applyFill="1" applyBorder="1" applyAlignment="1">
      <alignment horizontal="center" vertical="center" wrapText="1"/>
    </xf>
    <xf numFmtId="0" fontId="0" fillId="0" borderId="15" xfId="0" applyBorder="1"/>
    <xf numFmtId="0" fontId="1" fillId="0" borderId="27" xfId="0" applyFont="1" applyFill="1" applyBorder="1"/>
    <xf numFmtId="0" fontId="10" fillId="0" borderId="23" xfId="0" applyFont="1" applyBorder="1"/>
    <xf numFmtId="0" fontId="8" fillId="0" borderId="20" xfId="0" applyFont="1" applyBorder="1" applyAlignment="1">
      <alignment vertical="center"/>
    </xf>
    <xf numFmtId="2" fontId="0" fillId="0" borderId="0" xfId="0" applyNumberFormat="1"/>
    <xf numFmtId="0" fontId="0" fillId="0" borderId="0" xfId="0" applyNumberFormat="1"/>
    <xf numFmtId="0" fontId="1" fillId="0" borderId="28" xfId="0" applyFont="1" applyFill="1" applyBorder="1"/>
    <xf numFmtId="2" fontId="10" fillId="0" borderId="30" xfId="0" applyNumberFormat="1" applyFont="1" applyFill="1" applyBorder="1" applyAlignment="1">
      <alignment vertical="center"/>
    </xf>
    <xf numFmtId="0" fontId="11" fillId="0" borderId="0" xfId="0" applyFont="1" applyProtection="1">
      <protection locked="0"/>
    </xf>
    <xf numFmtId="0" fontId="0" fillId="0" borderId="0" xfId="0" applyProtection="1">
      <protection locked="0"/>
    </xf>
    <xf numFmtId="0" fontId="6" fillId="0" borderId="18" xfId="0" applyFont="1" applyBorder="1" applyAlignment="1" applyProtection="1">
      <alignment horizontal="center" vertical="center" wrapText="1"/>
      <protection locked="0"/>
    </xf>
    <xf numFmtId="0" fontId="6" fillId="0" borderId="0" xfId="0" applyFont="1" applyBorder="1" applyAlignment="1" applyProtection="1">
      <alignment horizontal="center" vertical="center" wrapText="1"/>
      <protection locked="0"/>
    </xf>
    <xf numFmtId="0" fontId="6" fillId="0" borderId="0" xfId="0" applyFont="1" applyBorder="1" applyAlignment="1" applyProtection="1">
      <alignment horizontal="center" vertical="center"/>
      <protection locked="0"/>
    </xf>
    <xf numFmtId="0" fontId="6" fillId="2" borderId="0" xfId="0" applyFont="1" applyFill="1" applyBorder="1" applyAlignment="1" applyProtection="1">
      <alignment horizontal="center" vertical="center"/>
      <protection locked="0"/>
    </xf>
    <xf numFmtId="0" fontId="0" fillId="0" borderId="0" xfId="0" applyAlignment="1">
      <alignment vertical="center"/>
    </xf>
    <xf numFmtId="0" fontId="6" fillId="3" borderId="1" xfId="0" applyFont="1" applyFill="1" applyBorder="1" applyAlignment="1" applyProtection="1">
      <alignment horizontal="center" vertical="center"/>
      <protection locked="0"/>
    </xf>
    <xf numFmtId="0" fontId="6" fillId="3" borderId="2" xfId="0" applyFont="1" applyFill="1" applyBorder="1" applyAlignment="1" applyProtection="1">
      <alignment horizontal="center" vertical="center"/>
      <protection locked="0"/>
    </xf>
    <xf numFmtId="0" fontId="6" fillId="3" borderId="3" xfId="0" applyFont="1" applyFill="1" applyBorder="1" applyAlignment="1" applyProtection="1">
      <alignment horizontal="center" vertical="center"/>
      <protection locked="0"/>
    </xf>
    <xf numFmtId="0" fontId="1" fillId="3" borderId="22" xfId="0" applyFont="1" applyFill="1" applyBorder="1" applyAlignment="1">
      <alignment vertical="center"/>
    </xf>
    <xf numFmtId="0" fontId="0" fillId="3" borderId="5" xfId="0" applyFill="1" applyBorder="1" applyAlignment="1">
      <alignment horizontal="center" vertical="center"/>
    </xf>
    <xf numFmtId="0" fontId="8" fillId="0" borderId="21" xfId="0" applyFont="1" applyBorder="1" applyAlignment="1">
      <alignment vertical="center"/>
    </xf>
    <xf numFmtId="0" fontId="0" fillId="0" borderId="12" xfId="0" applyBorder="1"/>
    <xf numFmtId="0" fontId="0" fillId="0" borderId="13" xfId="0" applyBorder="1"/>
    <xf numFmtId="0" fontId="0" fillId="0" borderId="14" xfId="0" applyBorder="1"/>
    <xf numFmtId="0" fontId="0" fillId="0" borderId="31" xfId="0" applyBorder="1" applyAlignment="1">
      <alignment horizontal="center"/>
    </xf>
    <xf numFmtId="0" fontId="0" fillId="0" borderId="0" xfId="0" applyBorder="1" applyAlignment="1">
      <alignment horizontal="center"/>
    </xf>
    <xf numFmtId="0" fontId="0" fillId="0" borderId="32" xfId="0" applyBorder="1" applyAlignment="1">
      <alignment horizontal="center"/>
    </xf>
    <xf numFmtId="0" fontId="0" fillId="0" borderId="0" xfId="0" applyBorder="1" applyAlignment="1">
      <alignment vertical="center"/>
    </xf>
    <xf numFmtId="0" fontId="0" fillId="0" borderId="8" xfId="0" applyBorder="1"/>
    <xf numFmtId="0" fontId="0" fillId="0" borderId="18" xfId="0" applyBorder="1" applyAlignment="1">
      <alignment horizontal="center"/>
    </xf>
    <xf numFmtId="0" fontId="0" fillId="0" borderId="18" xfId="0" applyBorder="1" applyAlignment="1">
      <alignment horizontal="center" vertical="center"/>
    </xf>
    <xf numFmtId="0" fontId="0" fillId="0" borderId="15" xfId="0" applyBorder="1" applyAlignment="1">
      <alignment horizontal="center" vertical="center"/>
    </xf>
    <xf numFmtId="0" fontId="14" fillId="4" borderId="0" xfId="1" applyFont="1" applyFill="1"/>
    <xf numFmtId="0" fontId="7" fillId="4" borderId="0" xfId="1" quotePrefix="1" applyFont="1" applyFill="1" applyAlignment="1">
      <alignment horizontal="center" wrapText="1"/>
    </xf>
    <xf numFmtId="0" fontId="14" fillId="4" borderId="0" xfId="1" applyFont="1" applyFill="1" applyAlignment="1">
      <alignment horizontal="center"/>
    </xf>
    <xf numFmtId="0" fontId="12" fillId="4" borderId="0" xfId="1" applyFill="1" applyAlignment="1">
      <alignment horizontal="center"/>
    </xf>
    <xf numFmtId="0" fontId="12" fillId="4" borderId="0" xfId="1" applyFill="1" applyAlignment="1">
      <alignment horizontal="center" vertical="center"/>
    </xf>
    <xf numFmtId="0" fontId="12" fillId="4" borderId="0" xfId="1" applyFill="1"/>
    <xf numFmtId="0" fontId="16" fillId="4" borderId="0" xfId="1" applyFont="1" applyFill="1" applyAlignment="1">
      <alignment horizontal="left"/>
    </xf>
    <xf numFmtId="0" fontId="14" fillId="4" borderId="0" xfId="1" applyFont="1" applyFill="1" applyBorder="1" applyAlignment="1">
      <alignment horizontal="center"/>
    </xf>
    <xf numFmtId="0" fontId="12" fillId="4" borderId="0" xfId="1" applyFill="1" applyAlignment="1">
      <alignment vertical="center"/>
    </xf>
    <xf numFmtId="0" fontId="14" fillId="4" borderId="20" xfId="1" applyFont="1" applyFill="1" applyBorder="1" applyAlignment="1">
      <alignment horizontal="right" vertical="center"/>
    </xf>
    <xf numFmtId="0" fontId="18" fillId="4" borderId="4" xfId="1" applyFont="1" applyFill="1" applyBorder="1" applyAlignment="1">
      <alignment horizontal="center" vertical="center"/>
    </xf>
    <xf numFmtId="0" fontId="14" fillId="4" borderId="0" xfId="1" applyFont="1" applyFill="1" applyAlignment="1">
      <alignment horizontal="left" vertical="top"/>
    </xf>
    <xf numFmtId="3" fontId="14" fillId="4" borderId="0" xfId="1" applyNumberFormat="1" applyFont="1" applyFill="1" applyAlignment="1">
      <alignment horizontal="right" vertical="top"/>
    </xf>
    <xf numFmtId="3" fontId="18" fillId="4" borderId="26" xfId="1" applyNumberFormat="1" applyFont="1" applyFill="1" applyBorder="1" applyAlignment="1">
      <alignment horizontal="center" vertical="center"/>
    </xf>
    <xf numFmtId="0" fontId="12" fillId="0" borderId="0" xfId="1" applyFill="1"/>
    <xf numFmtId="0" fontId="14" fillId="0" borderId="0" xfId="1" applyFont="1" applyFill="1" applyAlignment="1">
      <alignment horizontal="left" vertical="top"/>
    </xf>
    <xf numFmtId="3" fontId="14" fillId="0" borderId="0" xfId="1" applyNumberFormat="1" applyFont="1" applyFill="1" applyAlignment="1">
      <alignment horizontal="right" vertical="top"/>
    </xf>
    <xf numFmtId="0" fontId="12" fillId="4" borderId="0" xfId="1" applyFill="1" applyAlignment="1">
      <alignment vertical="top"/>
    </xf>
    <xf numFmtId="0" fontId="14" fillId="4" borderId="32" xfId="1" applyFont="1" applyFill="1" applyBorder="1" applyAlignment="1">
      <alignment horizontal="left" vertical="top"/>
    </xf>
    <xf numFmtId="3" fontId="14" fillId="4" borderId="32" xfId="1" applyNumberFormat="1" applyFont="1" applyFill="1" applyBorder="1" applyAlignment="1">
      <alignment horizontal="right" vertical="top"/>
    </xf>
    <xf numFmtId="3" fontId="14" fillId="4" borderId="0" xfId="1" applyNumberFormat="1" applyFont="1" applyFill="1" applyBorder="1" applyAlignment="1">
      <alignment horizontal="right" vertical="top"/>
    </xf>
    <xf numFmtId="3" fontId="18" fillId="4" borderId="27" xfId="1" applyNumberFormat="1" applyFont="1" applyFill="1" applyBorder="1" applyAlignment="1">
      <alignment horizontal="center" vertical="center"/>
    </xf>
    <xf numFmtId="0" fontId="14" fillId="4" borderId="34" xfId="1" applyFont="1" applyFill="1" applyBorder="1" applyAlignment="1">
      <alignment horizontal="right" vertical="center"/>
    </xf>
    <xf numFmtId="0" fontId="14" fillId="4" borderId="0" xfId="1" applyFont="1" applyFill="1" applyBorder="1" applyAlignment="1">
      <alignment horizontal="left" vertical="top"/>
    </xf>
    <xf numFmtId="0" fontId="14" fillId="4" borderId="18" xfId="1" applyFont="1" applyFill="1" applyBorder="1" applyAlignment="1">
      <alignment horizontal="left" vertical="top"/>
    </xf>
    <xf numFmtId="3" fontId="14" fillId="4" borderId="18" xfId="1" applyNumberFormat="1" applyFont="1" applyFill="1" applyBorder="1" applyAlignment="1">
      <alignment horizontal="right" vertical="top"/>
    </xf>
    <xf numFmtId="0" fontId="16" fillId="0" borderId="33" xfId="1" applyFont="1" applyFill="1" applyBorder="1"/>
    <xf numFmtId="0" fontId="16" fillId="0" borderId="33" xfId="1" applyFont="1" applyFill="1" applyBorder="1" applyAlignment="1"/>
    <xf numFmtId="0" fontId="14" fillId="4" borderId="33" xfId="1" applyFont="1" applyFill="1" applyBorder="1"/>
    <xf numFmtId="9" fontId="14" fillId="4" borderId="33" xfId="2" applyFont="1" applyFill="1" applyBorder="1"/>
    <xf numFmtId="9" fontId="14" fillId="0" borderId="33" xfId="2" applyFont="1" applyFill="1" applyBorder="1"/>
    <xf numFmtId="9" fontId="14" fillId="4" borderId="0" xfId="2" applyFont="1" applyFill="1" applyBorder="1" applyAlignment="1">
      <alignment horizontal="center"/>
    </xf>
    <xf numFmtId="0" fontId="16" fillId="4" borderId="0" xfId="3" applyFont="1" applyFill="1" applyBorder="1" applyAlignment="1" applyProtection="1"/>
    <xf numFmtId="0" fontId="14" fillId="4" borderId="0" xfId="1" applyFont="1" applyFill="1" applyBorder="1"/>
    <xf numFmtId="9" fontId="14" fillId="4" borderId="0" xfId="2" applyFont="1" applyFill="1" applyBorder="1"/>
    <xf numFmtId="9" fontId="14" fillId="0" borderId="0" xfId="2" applyFont="1" applyFill="1" applyBorder="1"/>
    <xf numFmtId="0" fontId="20" fillId="4" borderId="0" xfId="1" applyFont="1" applyFill="1" applyAlignment="1">
      <alignment horizontal="center"/>
    </xf>
    <xf numFmtId="0" fontId="14" fillId="4" borderId="0" xfId="1" applyFont="1" applyFill="1" applyBorder="1" applyAlignment="1"/>
    <xf numFmtId="0" fontId="20" fillId="4" borderId="0" xfId="1" applyFont="1" applyFill="1"/>
    <xf numFmtId="0" fontId="20" fillId="0" borderId="0" xfId="1" applyFont="1" applyFill="1"/>
    <xf numFmtId="0" fontId="21" fillId="4" borderId="0" xfId="1" applyFont="1" applyFill="1" applyAlignment="1">
      <alignment horizontal="left" vertical="top"/>
    </xf>
    <xf numFmtId="0" fontId="21" fillId="4" borderId="0" xfId="1" applyFont="1" applyFill="1" applyBorder="1"/>
    <xf numFmtId="0" fontId="21" fillId="4" borderId="0" xfId="1" applyFont="1" applyFill="1" applyBorder="1" applyAlignment="1"/>
    <xf numFmtId="164" fontId="20" fillId="4" borderId="0" xfId="1" applyNumberFormat="1" applyFont="1" applyFill="1" applyAlignment="1" applyProtection="1">
      <alignment horizontal="left" vertical="top"/>
    </xf>
    <xf numFmtId="164" fontId="20" fillId="4" borderId="0" xfId="1" applyNumberFormat="1" applyFont="1" applyFill="1" applyAlignment="1" applyProtection="1"/>
    <xf numFmtId="0" fontId="21" fillId="4" borderId="0" xfId="1" applyFont="1" applyFill="1"/>
    <xf numFmtId="0" fontId="21" fillId="4" borderId="0" xfId="1" applyFont="1" applyFill="1" applyAlignment="1"/>
    <xf numFmtId="0" fontId="21" fillId="4" borderId="0" xfId="1" quotePrefix="1" applyFont="1" applyFill="1" applyAlignment="1">
      <alignment horizontal="left" vertical="top"/>
    </xf>
    <xf numFmtId="0" fontId="21" fillId="4" borderId="0" xfId="1" quotePrefix="1" applyFont="1" applyFill="1" applyAlignment="1">
      <alignment horizontal="left"/>
    </xf>
    <xf numFmtId="0" fontId="21" fillId="4" borderId="0" xfId="1" quotePrefix="1" applyFont="1" applyFill="1" applyAlignment="1"/>
    <xf numFmtId="0" fontId="20" fillId="4" borderId="0" xfId="1" quotePrefix="1" applyFont="1" applyFill="1" applyAlignment="1">
      <alignment horizontal="left" vertical="top" wrapText="1"/>
    </xf>
    <xf numFmtId="0" fontId="20" fillId="4" borderId="0" xfId="1" applyFont="1" applyFill="1" applyAlignment="1">
      <alignment horizontal="left" vertical="top" wrapText="1"/>
    </xf>
    <xf numFmtId="0" fontId="20" fillId="4" borderId="0" xfId="1" applyFont="1" applyFill="1" applyAlignment="1">
      <alignment vertical="top" wrapText="1"/>
    </xf>
    <xf numFmtId="0" fontId="20" fillId="0" borderId="0" xfId="1" quotePrefix="1" applyFont="1" applyFill="1" applyAlignment="1">
      <alignment horizontal="left" vertical="top" wrapText="1"/>
    </xf>
    <xf numFmtId="0" fontId="22" fillId="4" borderId="0" xfId="3" applyFont="1" applyFill="1" applyAlignment="1" applyProtection="1"/>
    <xf numFmtId="0" fontId="19" fillId="4" borderId="0" xfId="3" applyFill="1" applyAlignment="1" applyProtection="1"/>
    <xf numFmtId="0" fontId="19" fillId="0" borderId="0" xfId="3" applyFill="1" applyAlignment="1" applyProtection="1"/>
    <xf numFmtId="164" fontId="20" fillId="4" borderId="0" xfId="1" applyNumberFormat="1" applyFont="1" applyFill="1" applyAlignment="1" applyProtection="1">
      <alignment horizontal="center"/>
    </xf>
    <xf numFmtId="164" fontId="14" fillId="4" borderId="0" xfId="1" applyNumberFormat="1" applyFont="1" applyFill="1" applyProtection="1"/>
    <xf numFmtId="164" fontId="14" fillId="4" borderId="0" xfId="1" applyNumberFormat="1" applyFont="1" applyFill="1" applyAlignment="1" applyProtection="1">
      <alignment horizontal="center"/>
    </xf>
    <xf numFmtId="0" fontId="21" fillId="4" borderId="0" xfId="1" applyFont="1" applyFill="1" applyAlignment="1">
      <alignment vertical="top"/>
    </xf>
    <xf numFmtId="164" fontId="16" fillId="4" borderId="0" xfId="1" applyNumberFormat="1" applyFont="1" applyFill="1" applyProtection="1"/>
    <xf numFmtId="0" fontId="16" fillId="4" borderId="0" xfId="1" applyFont="1" applyFill="1"/>
    <xf numFmtId="0" fontId="20" fillId="4" borderId="0" xfId="1" applyFont="1" applyFill="1" applyAlignment="1">
      <alignment vertical="top"/>
    </xf>
    <xf numFmtId="0" fontId="20" fillId="4" borderId="0" xfId="1" applyFont="1" applyFill="1" applyAlignment="1"/>
    <xf numFmtId="164" fontId="20" fillId="4" borderId="0" xfId="1" applyNumberFormat="1" applyFont="1" applyFill="1" applyProtection="1"/>
    <xf numFmtId="0" fontId="22" fillId="4" borderId="0" xfId="3" applyFont="1" applyFill="1" applyAlignment="1" applyProtection="1">
      <alignment horizontal="left"/>
    </xf>
    <xf numFmtId="0" fontId="22" fillId="0" borderId="0" xfId="3" applyFont="1" applyAlignment="1" applyProtection="1">
      <alignment horizontal="left"/>
    </xf>
    <xf numFmtId="0" fontId="16" fillId="4" borderId="0" xfId="1" applyFont="1" applyFill="1" applyAlignment="1">
      <alignment horizontal="center"/>
    </xf>
    <xf numFmtId="0" fontId="16" fillId="4" borderId="0" xfId="1" applyFont="1" applyFill="1" applyAlignment="1">
      <alignment horizontal="center" vertical="center"/>
    </xf>
    <xf numFmtId="0" fontId="0" fillId="0" borderId="12" xfId="0" applyBorder="1" applyAlignment="1">
      <alignment horizontal="center"/>
    </xf>
    <xf numFmtId="0" fontId="0" fillId="0" borderId="14" xfId="0" applyBorder="1" applyAlignment="1">
      <alignment horizontal="center"/>
    </xf>
    <xf numFmtId="0" fontId="0" fillId="0" borderId="13" xfId="0" applyBorder="1" applyAlignment="1">
      <alignment horizontal="center"/>
    </xf>
    <xf numFmtId="0" fontId="0" fillId="0" borderId="15" xfId="0" applyBorder="1" applyAlignment="1">
      <alignment horizontal="center"/>
    </xf>
    <xf numFmtId="0" fontId="1" fillId="0" borderId="0" xfId="0" applyFont="1" applyBorder="1" applyAlignment="1"/>
    <xf numFmtId="0" fontId="1" fillId="0" borderId="1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0" xfId="0" applyFont="1" applyBorder="1" applyAlignment="1">
      <alignment horizontal="center" vertical="center" wrapText="1"/>
    </xf>
    <xf numFmtId="0" fontId="0" fillId="0" borderId="0" xfId="0" applyAlignment="1">
      <alignment vertical="center" wrapText="1"/>
    </xf>
    <xf numFmtId="0" fontId="1" fillId="0" borderId="20" xfId="0" applyFont="1" applyBorder="1" applyAlignment="1">
      <alignment horizontal="center" vertical="center" wrapText="1"/>
    </xf>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9" xfId="0" applyBorder="1"/>
    <xf numFmtId="0" fontId="0" fillId="0" borderId="10" xfId="0" applyBorder="1"/>
    <xf numFmtId="0" fontId="0" fillId="0" borderId="11" xfId="0" applyBorder="1"/>
    <xf numFmtId="0" fontId="1" fillId="0" borderId="35" xfId="0" applyFont="1" applyBorder="1" applyAlignment="1">
      <alignment horizontal="center" vertical="center" wrapText="1"/>
    </xf>
    <xf numFmtId="0" fontId="1" fillId="0" borderId="21" xfId="0" applyFont="1" applyFill="1" applyBorder="1" applyAlignment="1">
      <alignment horizontal="center" vertical="center" wrapText="1"/>
    </xf>
    <xf numFmtId="0" fontId="0" fillId="0" borderId="10" xfId="0" applyBorder="1" applyAlignment="1">
      <alignment horizontal="center" vertical="center"/>
    </xf>
    <xf numFmtId="0" fontId="0" fillId="0" borderId="14" xfId="0" applyBorder="1" applyAlignment="1">
      <alignment horizontal="center" vertical="center"/>
    </xf>
    <xf numFmtId="0" fontId="0" fillId="0" borderId="32" xfId="0" applyBorder="1" applyAlignment="1">
      <alignment horizontal="center" vertical="center"/>
    </xf>
    <xf numFmtId="0" fontId="0" fillId="0" borderId="11" xfId="0" applyBorder="1" applyAlignment="1">
      <alignment horizontal="center" vertical="center"/>
    </xf>
    <xf numFmtId="16" fontId="0" fillId="0" borderId="0" xfId="0" applyNumberFormat="1"/>
    <xf numFmtId="2" fontId="4" fillId="0" borderId="9" xfId="0" applyNumberFormat="1" applyFont="1" applyBorder="1" applyAlignment="1">
      <alignment horizontal="right" vertical="center"/>
    </xf>
    <xf numFmtId="2" fontId="4" fillId="0" borderId="8" xfId="0" applyNumberFormat="1" applyFont="1" applyBorder="1" applyAlignment="1">
      <alignment horizontal="right"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2" fontId="10" fillId="0" borderId="29" xfId="0" applyNumberFormat="1" applyFont="1" applyFill="1" applyBorder="1" applyAlignment="1">
      <alignment horizontal="center" vertical="center"/>
    </xf>
    <xf numFmtId="2" fontId="10" fillId="0" borderId="30" xfId="0" applyNumberFormat="1" applyFont="1" applyFill="1" applyBorder="1" applyAlignment="1">
      <alignment horizontal="center" vertical="center"/>
    </xf>
    <xf numFmtId="0" fontId="9" fillId="0" borderId="0" xfId="0" applyFont="1" applyAlignment="1">
      <alignment horizontal="center"/>
    </xf>
    <xf numFmtId="0" fontId="0" fillId="3" borderId="16" xfId="0" applyFill="1" applyBorder="1" applyAlignment="1">
      <alignment horizontal="center" vertical="center"/>
    </xf>
    <xf numFmtId="0" fontId="0" fillId="3" borderId="17" xfId="0" applyFill="1" applyBorder="1" applyAlignment="1">
      <alignment horizontal="center" vertical="center"/>
    </xf>
    <xf numFmtId="0" fontId="1" fillId="0" borderId="19" xfId="0" applyFont="1" applyBorder="1" applyAlignment="1" applyProtection="1">
      <alignment horizontal="center"/>
      <protection locked="0"/>
    </xf>
    <xf numFmtId="0" fontId="1" fillId="0" borderId="20" xfId="0" applyFont="1" applyBorder="1" applyAlignment="1" applyProtection="1">
      <alignment horizontal="center"/>
      <protection locked="0"/>
    </xf>
    <xf numFmtId="0" fontId="1" fillId="0" borderId="21" xfId="0" applyFont="1" applyBorder="1" applyAlignment="1" applyProtection="1">
      <alignment horizontal="center"/>
      <protection locked="0"/>
    </xf>
    <xf numFmtId="0" fontId="8" fillId="0" borderId="20" xfId="0" applyFont="1" applyBorder="1" applyAlignment="1">
      <alignment horizontal="center" vertical="center"/>
    </xf>
    <xf numFmtId="2" fontId="1" fillId="0" borderId="14" xfId="0" applyNumberFormat="1" applyFont="1" applyBorder="1" applyAlignment="1">
      <alignment horizontal="center"/>
    </xf>
    <xf numFmtId="2" fontId="1" fillId="0" borderId="15" xfId="0" applyNumberFormat="1" applyFont="1" applyBorder="1" applyAlignment="1">
      <alignment horizontal="center"/>
    </xf>
    <xf numFmtId="0" fontId="8" fillId="0" borderId="19" xfId="0" applyFont="1" applyBorder="1" applyAlignment="1">
      <alignment horizontal="center" vertical="center"/>
    </xf>
    <xf numFmtId="0" fontId="8" fillId="0" borderId="21" xfId="0" applyFont="1" applyBorder="1" applyAlignment="1">
      <alignment horizontal="center" vertical="center"/>
    </xf>
    <xf numFmtId="0" fontId="0" fillId="0" borderId="9" xfId="0" applyBorder="1" applyAlignment="1">
      <alignment horizontal="center" vertical="center"/>
    </xf>
    <xf numFmtId="0" fontId="0" fillId="0" borderId="11" xfId="0" applyBorder="1" applyAlignment="1">
      <alignment horizontal="center" vertical="center"/>
    </xf>
    <xf numFmtId="0" fontId="1" fillId="0" borderId="18" xfId="0" applyFont="1" applyBorder="1" applyAlignment="1">
      <alignment horizontal="center"/>
    </xf>
    <xf numFmtId="0" fontId="0" fillId="0" borderId="8" xfId="0" applyBorder="1" applyAlignment="1">
      <alignment horizontal="center" vertical="center"/>
    </xf>
    <xf numFmtId="0" fontId="0" fillId="0" borderId="10" xfId="0"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12" xfId="0" applyBorder="1" applyAlignment="1">
      <alignment horizontal="center" vertical="center"/>
    </xf>
    <xf numFmtId="0" fontId="0" fillId="0" borderId="0" xfId="0" applyBorder="1" applyAlignment="1">
      <alignment horizontal="center" vertical="center"/>
    </xf>
    <xf numFmtId="0" fontId="0" fillId="0" borderId="13" xfId="0" applyBorder="1" applyAlignment="1">
      <alignment horizontal="center" vertical="center"/>
    </xf>
    <xf numFmtId="0" fontId="16" fillId="4" borderId="0" xfId="3" applyFont="1" applyFill="1" applyBorder="1" applyAlignment="1" applyProtection="1">
      <alignment wrapText="1"/>
    </xf>
    <xf numFmtId="0" fontId="13" fillId="4" borderId="0" xfId="1" applyFont="1" applyFill="1" applyAlignment="1">
      <alignment horizontal="left" vertical="center"/>
    </xf>
    <xf numFmtId="0" fontId="15" fillId="4" borderId="0" xfId="1" quotePrefix="1" applyFont="1" applyFill="1" applyAlignment="1">
      <alignment horizontal="left" wrapText="1"/>
    </xf>
    <xf numFmtId="0" fontId="7" fillId="4" borderId="18" xfId="1" applyFont="1" applyFill="1" applyBorder="1" applyAlignment="1">
      <alignment horizontal="left" vertical="center" wrapText="1"/>
    </xf>
    <xf numFmtId="0" fontId="14" fillId="4" borderId="19" xfId="1" applyFont="1" applyFill="1" applyBorder="1" applyAlignment="1">
      <alignment horizontal="left" vertical="center" wrapText="1"/>
    </xf>
    <xf numFmtId="0" fontId="14" fillId="4" borderId="20" xfId="1" applyFont="1" applyFill="1" applyBorder="1" applyAlignment="1">
      <alignment horizontal="left" vertical="center" wrapText="1"/>
    </xf>
    <xf numFmtId="0" fontId="14" fillId="4" borderId="34" xfId="1" applyFont="1" applyFill="1" applyBorder="1" applyAlignment="1">
      <alignment horizontal="left" vertical="center" wrapText="1"/>
    </xf>
    <xf numFmtId="0" fontId="20" fillId="4" borderId="0" xfId="1" applyFont="1" applyFill="1" applyAlignment="1">
      <alignment horizontal="left" vertical="top" wrapText="1"/>
    </xf>
    <xf numFmtId="0" fontId="20" fillId="0" borderId="0" xfId="1" applyFont="1" applyFill="1" applyAlignment="1">
      <alignment horizontal="left" vertical="top" wrapText="1"/>
    </xf>
    <xf numFmtId="0" fontId="20" fillId="4" borderId="0" xfId="3" applyFont="1" applyFill="1" applyAlignment="1" applyProtection="1">
      <alignment horizontal="left" vertical="top"/>
    </xf>
    <xf numFmtId="0" fontId="22" fillId="0" borderId="0" xfId="3" applyFont="1" applyAlignment="1" applyProtection="1">
      <alignment horizontal="left"/>
    </xf>
    <xf numFmtId="0" fontId="20" fillId="4" borderId="0" xfId="1" applyFont="1" applyFill="1" applyAlignment="1">
      <alignment horizontal="left" wrapText="1"/>
    </xf>
  </cellXfs>
  <cellStyles count="4">
    <cellStyle name="Hyperlink" xfId="3" builtinId="8"/>
    <cellStyle name="Normal" xfId="0" builtinId="0"/>
    <cellStyle name="Normal 2" xfId="1" xr:uid="{00000000-0005-0000-0000-000002000000}"/>
    <cellStyle name="Percent 2" xfId="2" xr:uid="{00000000-0005-0000-0000-000003000000}"/>
  </cellStyles>
  <dxfs count="13">
    <dxf>
      <fill>
        <patternFill>
          <bgColor rgb="FFB3DEFF"/>
        </patternFill>
      </fill>
    </dxf>
    <dxf>
      <fill>
        <patternFill>
          <bgColor rgb="FFB7E0FF"/>
        </patternFill>
      </fill>
    </dxf>
    <dxf>
      <font>
        <u val="none"/>
      </font>
      <fill>
        <patternFill patternType="solid">
          <fgColor auto="1"/>
          <bgColor rgb="FFBDE3FF"/>
        </patternFill>
      </fill>
    </dxf>
    <dxf>
      <font>
        <strike val="0"/>
      </font>
      <fill>
        <patternFill>
          <bgColor rgb="FFC1E4FF"/>
        </patternFill>
      </fill>
    </dxf>
    <dxf>
      <font>
        <b val="0"/>
        <i val="0"/>
        <strike val="0"/>
        <condense val="0"/>
        <extend val="0"/>
        <outline val="0"/>
        <shadow val="0"/>
        <u val="none"/>
        <vertAlign val="baseline"/>
        <sz val="9"/>
        <color theme="1"/>
        <name val="Arial"/>
        <scheme val="none"/>
      </font>
      <fill>
        <patternFill patternType="solid">
          <fgColor indexed="64"/>
          <bgColor theme="9" tint="0.79998168889431442"/>
        </patternFill>
      </fill>
      <alignment horizontal="center" vertical="center" textRotation="0" wrapText="0" indent="0" justifyLastLine="0" shrinkToFit="0" readingOrder="0"/>
      <border diagonalUp="0" diagonalDown="0" outline="0">
        <left/>
        <right style="thin">
          <color indexed="64"/>
        </right>
        <top/>
        <bottom/>
      </border>
      <protection locked="0" hidden="0"/>
    </dxf>
    <dxf>
      <font>
        <b val="0"/>
        <i val="0"/>
        <strike val="0"/>
        <condense val="0"/>
        <extend val="0"/>
        <outline val="0"/>
        <shadow val="0"/>
        <u val="none"/>
        <vertAlign val="baseline"/>
        <sz val="9"/>
        <color theme="1"/>
        <name val="Arial"/>
        <scheme val="none"/>
      </font>
      <fill>
        <patternFill patternType="solid">
          <fgColor indexed="64"/>
          <bgColor theme="4" tint="0.79998168889431442"/>
        </patternFill>
      </fill>
      <alignment horizontal="center" vertical="center" textRotation="0" wrapText="0" indent="0" justifyLastLine="0" shrinkToFit="0" readingOrder="0"/>
      <border outline="0">
        <right style="thin">
          <color indexed="64"/>
        </right>
      </border>
      <protection locked="0" hidden="0"/>
    </dxf>
    <dxf>
      <font>
        <b val="0"/>
        <i val="0"/>
        <strike val="0"/>
        <condense val="0"/>
        <extend val="0"/>
        <outline val="0"/>
        <shadow val="0"/>
        <u val="none"/>
        <vertAlign val="baseline"/>
        <sz val="9"/>
        <color theme="1"/>
        <name val="Arial"/>
        <scheme val="none"/>
      </font>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theme="1"/>
        <name val="Arial"/>
        <scheme val="none"/>
      </font>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theme="1"/>
        <name val="Arial"/>
        <scheme val="none"/>
      </font>
      <alignment horizontal="center" vertical="center" textRotation="0" wrapText="0" indent="0" justifyLastLine="0" shrinkToFit="0" readingOrder="0"/>
      <protection locked="0" hidden="0"/>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9"/>
        <color theme="1"/>
        <name val="Arial"/>
        <scheme val="none"/>
      </font>
      <alignment horizontal="center" vertical="center" textRotation="0" wrapText="0" indent="0" justifyLastLine="0" shrinkToFit="0" readingOrder="0"/>
      <protection locked="0" hidden="0"/>
    </dxf>
    <dxf>
      <border outline="0">
        <bottom style="medium">
          <color indexed="64"/>
        </bottom>
      </border>
    </dxf>
    <dxf>
      <font>
        <b val="0"/>
        <i val="0"/>
        <strike val="0"/>
        <condense val="0"/>
        <extend val="0"/>
        <outline val="0"/>
        <shadow val="0"/>
        <u val="none"/>
        <vertAlign val="baseline"/>
        <sz val="9"/>
        <color theme="1"/>
        <name val="Arial"/>
        <scheme val="none"/>
      </font>
      <alignment horizontal="center" vertical="center" textRotation="0" wrapText="1" indent="0" justifyLastLine="0" shrinkToFit="0" readingOrder="0"/>
      <protection locked="0" hidden="0"/>
    </dxf>
  </dxfs>
  <tableStyles count="0" defaultTableStyle="TableStyleMedium2" defaultPivotStyle="PivotStyleLight16"/>
  <colors>
    <mruColors>
      <color rgb="FFC1E4FF"/>
      <color rgb="FFBDE3FF"/>
      <color rgb="FFB7E0FF"/>
      <color rgb="FFB3DEFF"/>
      <color rgb="FFA0D7FF"/>
      <color rgb="FFA3D8FF"/>
      <color rgb="FF65BDFF"/>
      <color rgb="FFEFF9B5"/>
      <color rgb="FFE7F68E"/>
      <color rgb="FFD2AA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sz="1200"/>
              <a:t>Salary Bands Categories</a:t>
            </a:r>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6.7699305555555561E-2"/>
          <c:y val="0.14690888888888889"/>
          <c:w val="0.80698746504933716"/>
          <c:h val="0.46847997951024173"/>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IncomeDiscretisatedInverseGauss!$G$4:$G$13</c:f>
              <c:strCache>
                <c:ptCount val="10"/>
                <c:pt idx="0">
                  <c:v>Basic</c:v>
                </c:pt>
                <c:pt idx="1">
                  <c:v>Intermediary L</c:v>
                </c:pt>
                <c:pt idx="2">
                  <c:v>Intermediary H</c:v>
                </c:pt>
                <c:pt idx="3">
                  <c:v>Advanced L</c:v>
                </c:pt>
                <c:pt idx="4">
                  <c:v>Advanced M</c:v>
                </c:pt>
                <c:pt idx="5">
                  <c:v>Advanced H</c:v>
                </c:pt>
                <c:pt idx="6">
                  <c:v>Advanced T</c:v>
                </c:pt>
                <c:pt idx="7">
                  <c:v>High L</c:v>
                </c:pt>
                <c:pt idx="8">
                  <c:v>High H</c:v>
                </c:pt>
                <c:pt idx="9">
                  <c:v>Top</c:v>
                </c:pt>
              </c:strCache>
            </c:strRef>
          </c:cat>
          <c:val>
            <c:numRef>
              <c:f>IncomeDiscretisatedInverseGauss!$F$4:$F$13</c:f>
              <c:numCache>
                <c:formatCode>General</c:formatCode>
                <c:ptCount val="10"/>
                <c:pt idx="0">
                  <c:v>30</c:v>
                </c:pt>
                <c:pt idx="1">
                  <c:v>18</c:v>
                </c:pt>
                <c:pt idx="2">
                  <c:v>12</c:v>
                </c:pt>
                <c:pt idx="3">
                  <c:v>8</c:v>
                </c:pt>
                <c:pt idx="4">
                  <c:v>7</c:v>
                </c:pt>
                <c:pt idx="5">
                  <c:v>7</c:v>
                </c:pt>
                <c:pt idx="6">
                  <c:v>8</c:v>
                </c:pt>
                <c:pt idx="7">
                  <c:v>12</c:v>
                </c:pt>
                <c:pt idx="8">
                  <c:v>18</c:v>
                </c:pt>
                <c:pt idx="9">
                  <c:v>30</c:v>
                </c:pt>
              </c:numCache>
            </c:numRef>
          </c:val>
          <c:extLst>
            <c:ext xmlns:c16="http://schemas.microsoft.com/office/drawing/2014/chart" uri="{C3380CC4-5D6E-409C-BE32-E72D297353CC}">
              <c16:uniqueId val="{00000000-8B5A-418C-80EB-B32B3B63B7FF}"/>
            </c:ext>
          </c:extLst>
        </c:ser>
        <c:dLbls>
          <c:showLegendKey val="0"/>
          <c:showVal val="0"/>
          <c:showCatName val="0"/>
          <c:showSerName val="0"/>
          <c:showPercent val="0"/>
          <c:showBubbleSize val="0"/>
        </c:dLbls>
        <c:gapWidth val="219"/>
        <c:axId val="1194657080"/>
        <c:axId val="1194652488"/>
      </c:barChart>
      <c:lineChart>
        <c:grouping val="standard"/>
        <c:varyColors val="0"/>
        <c:ser>
          <c:idx val="1"/>
          <c:order val="1"/>
          <c:tx>
            <c:v>Pattern</c:v>
          </c:tx>
          <c:spPr>
            <a:ln w="34925" cap="rnd">
              <a:solidFill>
                <a:schemeClr val="accent2"/>
              </a:solidFill>
              <a:round/>
            </a:ln>
            <a:effectLst>
              <a:outerShdw blurRad="57150" dist="19050" dir="5400000" algn="ctr" rotWithShape="0">
                <a:srgbClr val="000000">
                  <a:alpha val="63000"/>
                </a:srgbClr>
              </a:outerShdw>
            </a:effectLst>
          </c:spPr>
          <c:marker>
            <c:symbol val="none"/>
          </c:marker>
          <c:val>
            <c:numRef>
              <c:f>IncomeDiscretisatedInverseGauss!$F$4:$F$13</c:f>
              <c:numCache>
                <c:formatCode>General</c:formatCode>
                <c:ptCount val="10"/>
                <c:pt idx="0">
                  <c:v>30</c:v>
                </c:pt>
                <c:pt idx="1">
                  <c:v>18</c:v>
                </c:pt>
                <c:pt idx="2">
                  <c:v>12</c:v>
                </c:pt>
                <c:pt idx="3">
                  <c:v>8</c:v>
                </c:pt>
                <c:pt idx="4">
                  <c:v>7</c:v>
                </c:pt>
                <c:pt idx="5">
                  <c:v>7</c:v>
                </c:pt>
                <c:pt idx="6">
                  <c:v>8</c:v>
                </c:pt>
                <c:pt idx="7">
                  <c:v>12</c:v>
                </c:pt>
                <c:pt idx="8">
                  <c:v>18</c:v>
                </c:pt>
                <c:pt idx="9">
                  <c:v>30</c:v>
                </c:pt>
              </c:numCache>
            </c:numRef>
          </c:val>
          <c:smooth val="0"/>
          <c:extLst>
            <c:ext xmlns:c16="http://schemas.microsoft.com/office/drawing/2014/chart" uri="{C3380CC4-5D6E-409C-BE32-E72D297353CC}">
              <c16:uniqueId val="{00000001-8B5A-418C-80EB-B32B3B63B7FF}"/>
            </c:ext>
          </c:extLst>
        </c:ser>
        <c:dLbls>
          <c:showLegendKey val="0"/>
          <c:showVal val="0"/>
          <c:showCatName val="0"/>
          <c:showSerName val="0"/>
          <c:showPercent val="0"/>
          <c:showBubbleSize val="0"/>
        </c:dLbls>
        <c:marker val="1"/>
        <c:smooth val="0"/>
        <c:axId val="689883152"/>
        <c:axId val="689882824"/>
      </c:lineChart>
      <c:catAx>
        <c:axId val="11946570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4652488"/>
        <c:crosses val="autoZero"/>
        <c:auto val="1"/>
        <c:lblAlgn val="ctr"/>
        <c:lblOffset val="100"/>
        <c:noMultiLvlLbl val="0"/>
      </c:catAx>
      <c:valAx>
        <c:axId val="1194652488"/>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1194657080"/>
        <c:crosses val="autoZero"/>
        <c:crossBetween val="between"/>
      </c:valAx>
      <c:valAx>
        <c:axId val="689882824"/>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9883152"/>
        <c:crosses val="max"/>
        <c:crossBetween val="between"/>
      </c:valAx>
      <c:catAx>
        <c:axId val="689883152"/>
        <c:scaling>
          <c:orientation val="minMax"/>
        </c:scaling>
        <c:delete val="1"/>
        <c:axPos val="b"/>
        <c:majorTickMark val="none"/>
        <c:minorTickMark val="none"/>
        <c:tickLblPos val="nextTo"/>
        <c:crossAx val="689882824"/>
        <c:crosses val="autoZero"/>
        <c:auto val="1"/>
        <c:lblAlgn val="ctr"/>
        <c:lblOffset val="100"/>
        <c:noMultiLvlLbl val="0"/>
      </c:cat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sz="1200"/>
              <a:t># Category in a Band</a:t>
            </a:r>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v>Bands</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(IncomeDiscretisatedInverseGauss!$K$4,IncomeDiscretisatedInverseGauss!$K$5,IncomeDiscretisatedInverseGauss!$K$7,IncomeDiscretisatedInverseGauss!$K$11,IncomeDiscretisatedInverseGauss!$K$13)</c:f>
              <c:strCache>
                <c:ptCount val="5"/>
                <c:pt idx="0">
                  <c:v>Basic</c:v>
                </c:pt>
                <c:pt idx="1">
                  <c:v>Intermediary</c:v>
                </c:pt>
                <c:pt idx="2">
                  <c:v>Advanced</c:v>
                </c:pt>
                <c:pt idx="3">
                  <c:v>High</c:v>
                </c:pt>
                <c:pt idx="4">
                  <c:v>Top</c:v>
                </c:pt>
              </c:strCache>
            </c:strRef>
          </c:cat>
          <c:val>
            <c:numRef>
              <c:f>(IncomeDiscretisatedInverseGauss!$L$4,IncomeDiscretisatedInverseGauss!$L$5,IncomeDiscretisatedInverseGauss!$L$7,IncomeDiscretisatedInverseGauss!$L$11,IncomeDiscretisatedInverseGauss!$L$13)</c:f>
              <c:numCache>
                <c:formatCode>General</c:formatCode>
                <c:ptCount val="5"/>
                <c:pt idx="0">
                  <c:v>1</c:v>
                </c:pt>
                <c:pt idx="1">
                  <c:v>2</c:v>
                </c:pt>
                <c:pt idx="2">
                  <c:v>4</c:v>
                </c:pt>
                <c:pt idx="3">
                  <c:v>2</c:v>
                </c:pt>
                <c:pt idx="4">
                  <c:v>1</c:v>
                </c:pt>
              </c:numCache>
            </c:numRef>
          </c:val>
          <c:extLst>
            <c:ext xmlns:c16="http://schemas.microsoft.com/office/drawing/2014/chart" uri="{C3380CC4-5D6E-409C-BE32-E72D297353CC}">
              <c16:uniqueId val="{00000000-2A0E-48DB-8EEC-A3BE72D53488}"/>
            </c:ext>
          </c:extLst>
        </c:ser>
        <c:dLbls>
          <c:showLegendKey val="0"/>
          <c:showVal val="0"/>
          <c:showCatName val="0"/>
          <c:showSerName val="0"/>
          <c:showPercent val="0"/>
          <c:showBubbleSize val="0"/>
        </c:dLbls>
        <c:gapWidth val="219"/>
        <c:axId val="686641288"/>
        <c:axId val="686639976"/>
      </c:barChart>
      <c:catAx>
        <c:axId val="6866412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6639976"/>
        <c:crosses val="autoZero"/>
        <c:auto val="1"/>
        <c:lblAlgn val="ctr"/>
        <c:lblOffset val="100"/>
        <c:noMultiLvlLbl val="0"/>
      </c:catAx>
      <c:valAx>
        <c:axId val="68663997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664128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sz="1200"/>
              <a:t>Salary Bands</a:t>
            </a:r>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0955428399598277"/>
          <c:y val="0.13985356052814196"/>
          <c:w val="0.80698746504933716"/>
          <c:h val="0.46847997951024173"/>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(IncomeDiscretisatedInverseGauss!$K$4,IncomeDiscretisatedInverseGauss!$K$5,IncomeDiscretisatedInverseGauss!$K$7,IncomeDiscretisatedInverseGauss!$K$11,IncomeDiscretisatedInverseGauss!$K$13)</c:f>
              <c:strCache>
                <c:ptCount val="5"/>
                <c:pt idx="0">
                  <c:v>Basic</c:v>
                </c:pt>
                <c:pt idx="1">
                  <c:v>Intermediary</c:v>
                </c:pt>
                <c:pt idx="2">
                  <c:v>Advanced</c:v>
                </c:pt>
                <c:pt idx="3">
                  <c:v>High</c:v>
                </c:pt>
                <c:pt idx="4">
                  <c:v>Top</c:v>
                </c:pt>
              </c:strCache>
            </c:strRef>
          </c:cat>
          <c:val>
            <c:numRef>
              <c:f>(IncomeDiscretisatedInverseGauss!$J$4,IncomeDiscretisatedInverseGauss!$J$5,IncomeDiscretisatedInverseGauss!$J$7,IncomeDiscretisatedInverseGauss!$J$11,IncomeDiscretisatedInverseGauss!$J$13)</c:f>
              <c:numCache>
                <c:formatCode>General</c:formatCode>
                <c:ptCount val="5"/>
                <c:pt idx="0">
                  <c:v>30</c:v>
                </c:pt>
                <c:pt idx="1">
                  <c:v>30</c:v>
                </c:pt>
                <c:pt idx="2">
                  <c:v>30</c:v>
                </c:pt>
                <c:pt idx="3">
                  <c:v>30</c:v>
                </c:pt>
                <c:pt idx="4">
                  <c:v>30</c:v>
                </c:pt>
              </c:numCache>
            </c:numRef>
          </c:val>
          <c:extLst>
            <c:ext xmlns:c16="http://schemas.microsoft.com/office/drawing/2014/chart" uri="{C3380CC4-5D6E-409C-BE32-E72D297353CC}">
              <c16:uniqueId val="{00000000-BE29-4470-AA7A-119A9494AB11}"/>
            </c:ext>
          </c:extLst>
        </c:ser>
        <c:dLbls>
          <c:dLblPos val="ctr"/>
          <c:showLegendKey val="0"/>
          <c:showVal val="1"/>
          <c:showCatName val="0"/>
          <c:showSerName val="0"/>
          <c:showPercent val="0"/>
          <c:showBubbleSize val="0"/>
        </c:dLbls>
        <c:gapWidth val="219"/>
        <c:axId val="1194657080"/>
        <c:axId val="1194652488"/>
      </c:barChart>
      <c:catAx>
        <c:axId val="11946570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4652488"/>
        <c:crosses val="autoZero"/>
        <c:auto val="1"/>
        <c:lblAlgn val="ctr"/>
        <c:lblOffset val="100"/>
        <c:noMultiLvlLbl val="0"/>
      </c:catAx>
      <c:valAx>
        <c:axId val="1194652488"/>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119465708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UK Top 20 Salaries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3.8001165876857181E-2"/>
          <c:y val="0.19763955026455027"/>
          <c:w val="0.80842516041687573"/>
          <c:h val="0.6075072751322752"/>
        </c:manualLayout>
      </c:layout>
      <c:barChart>
        <c:barDir val="col"/>
        <c:grouping val="clustered"/>
        <c:varyColors val="0"/>
        <c:ser>
          <c:idx val="0"/>
          <c:order val="0"/>
          <c:tx>
            <c:v>Salaries</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'Income Discretised ReversPareto'!$V$85:$V$104</c:f>
              <c:numCache>
                <c:formatCode>#,##0</c:formatCode>
                <c:ptCount val="20"/>
                <c:pt idx="0">
                  <c:v>41100</c:v>
                </c:pt>
                <c:pt idx="1">
                  <c:v>42100</c:v>
                </c:pt>
                <c:pt idx="2">
                  <c:v>43100</c:v>
                </c:pt>
                <c:pt idx="3">
                  <c:v>44100</c:v>
                </c:pt>
                <c:pt idx="4">
                  <c:v>45000</c:v>
                </c:pt>
                <c:pt idx="5">
                  <c:v>46100</c:v>
                </c:pt>
                <c:pt idx="6">
                  <c:v>47500</c:v>
                </c:pt>
                <c:pt idx="7">
                  <c:v>49000</c:v>
                </c:pt>
                <c:pt idx="8">
                  <c:v>50600</c:v>
                </c:pt>
                <c:pt idx="9">
                  <c:v>52600</c:v>
                </c:pt>
                <c:pt idx="10">
                  <c:v>54900</c:v>
                </c:pt>
                <c:pt idx="11">
                  <c:v>57700</c:v>
                </c:pt>
                <c:pt idx="12">
                  <c:v>61000</c:v>
                </c:pt>
                <c:pt idx="13">
                  <c:v>65000</c:v>
                </c:pt>
                <c:pt idx="14">
                  <c:v>70200</c:v>
                </c:pt>
                <c:pt idx="15">
                  <c:v>76800</c:v>
                </c:pt>
                <c:pt idx="16">
                  <c:v>86000</c:v>
                </c:pt>
                <c:pt idx="17">
                  <c:v>98600</c:v>
                </c:pt>
                <c:pt idx="18">
                  <c:v>121000</c:v>
                </c:pt>
                <c:pt idx="19">
                  <c:v>175000</c:v>
                </c:pt>
              </c:numCache>
            </c:numRef>
          </c:val>
          <c:extLst>
            <c:ext xmlns:c16="http://schemas.microsoft.com/office/drawing/2014/chart" uri="{C3380CC4-5D6E-409C-BE32-E72D297353CC}">
              <c16:uniqueId val="{00000000-3373-4CF2-967A-A1ED15579FFE}"/>
            </c:ext>
          </c:extLst>
        </c:ser>
        <c:dLbls>
          <c:showLegendKey val="0"/>
          <c:showVal val="0"/>
          <c:showCatName val="0"/>
          <c:showSerName val="0"/>
          <c:showPercent val="0"/>
          <c:showBubbleSize val="0"/>
        </c:dLbls>
        <c:gapWidth val="219"/>
        <c:axId val="821395424"/>
        <c:axId val="821398704"/>
      </c:barChart>
      <c:lineChart>
        <c:grouping val="standard"/>
        <c:varyColors val="0"/>
        <c:ser>
          <c:idx val="1"/>
          <c:order val="1"/>
          <c:tx>
            <c:v>Pattern</c:v>
          </c:tx>
          <c:spPr>
            <a:ln w="34925" cap="rnd">
              <a:solidFill>
                <a:schemeClr val="accent2"/>
              </a:solidFill>
              <a:round/>
            </a:ln>
            <a:effectLst>
              <a:outerShdw blurRad="57150" dist="19050" dir="5400000" algn="ctr" rotWithShape="0">
                <a:srgbClr val="000000">
                  <a:alpha val="63000"/>
                </a:srgbClr>
              </a:outerShdw>
            </a:effectLst>
          </c:spPr>
          <c:marker>
            <c:symbol val="none"/>
          </c:marker>
          <c:val>
            <c:numRef>
              <c:f>'Income Discretised ReversPareto'!$V$85:$V$104</c:f>
              <c:numCache>
                <c:formatCode>#,##0</c:formatCode>
                <c:ptCount val="20"/>
                <c:pt idx="0">
                  <c:v>41100</c:v>
                </c:pt>
                <c:pt idx="1">
                  <c:v>42100</c:v>
                </c:pt>
                <c:pt idx="2">
                  <c:v>43100</c:v>
                </c:pt>
                <c:pt idx="3">
                  <c:v>44100</c:v>
                </c:pt>
                <c:pt idx="4">
                  <c:v>45000</c:v>
                </c:pt>
                <c:pt idx="5">
                  <c:v>46100</c:v>
                </c:pt>
                <c:pt idx="6">
                  <c:v>47500</c:v>
                </c:pt>
                <c:pt idx="7">
                  <c:v>49000</c:v>
                </c:pt>
                <c:pt idx="8">
                  <c:v>50600</c:v>
                </c:pt>
                <c:pt idx="9">
                  <c:v>52600</c:v>
                </c:pt>
                <c:pt idx="10">
                  <c:v>54900</c:v>
                </c:pt>
                <c:pt idx="11">
                  <c:v>57700</c:v>
                </c:pt>
                <c:pt idx="12">
                  <c:v>61000</c:v>
                </c:pt>
                <c:pt idx="13">
                  <c:v>65000</c:v>
                </c:pt>
                <c:pt idx="14">
                  <c:v>70200</c:v>
                </c:pt>
                <c:pt idx="15">
                  <c:v>76800</c:v>
                </c:pt>
                <c:pt idx="16">
                  <c:v>86000</c:v>
                </c:pt>
                <c:pt idx="17">
                  <c:v>98600</c:v>
                </c:pt>
                <c:pt idx="18">
                  <c:v>121000</c:v>
                </c:pt>
                <c:pt idx="19">
                  <c:v>175000</c:v>
                </c:pt>
              </c:numCache>
            </c:numRef>
          </c:val>
          <c:smooth val="0"/>
          <c:extLst>
            <c:ext xmlns:c16="http://schemas.microsoft.com/office/drawing/2014/chart" uri="{C3380CC4-5D6E-409C-BE32-E72D297353CC}">
              <c16:uniqueId val="{00000001-3373-4CF2-967A-A1ED15579FFE}"/>
            </c:ext>
          </c:extLst>
        </c:ser>
        <c:dLbls>
          <c:showLegendKey val="0"/>
          <c:showVal val="0"/>
          <c:showCatName val="0"/>
          <c:showSerName val="0"/>
          <c:showPercent val="0"/>
          <c:showBubbleSize val="0"/>
        </c:dLbls>
        <c:marker val="1"/>
        <c:smooth val="0"/>
        <c:axId val="671042504"/>
        <c:axId val="671046768"/>
      </c:lineChart>
      <c:valAx>
        <c:axId val="821398704"/>
        <c:scaling>
          <c:orientation val="minMax"/>
        </c:scaling>
        <c:delete val="0"/>
        <c:axPos val="r"/>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1395424"/>
        <c:crosses val="max"/>
        <c:crossBetween val="between"/>
      </c:valAx>
      <c:catAx>
        <c:axId val="821395424"/>
        <c:scaling>
          <c:orientation val="minMax"/>
        </c:scaling>
        <c:delete val="0"/>
        <c:axPos val="b"/>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1398704"/>
        <c:crosses val="autoZero"/>
        <c:auto val="1"/>
        <c:lblAlgn val="ctr"/>
        <c:lblOffset val="100"/>
        <c:noMultiLvlLbl val="0"/>
      </c:catAx>
      <c:valAx>
        <c:axId val="671046768"/>
        <c:scaling>
          <c:orientation val="minMax"/>
        </c:scaling>
        <c:delete val="1"/>
        <c:axPos val="l"/>
        <c:numFmt formatCode="#,##0" sourceLinked="1"/>
        <c:majorTickMark val="none"/>
        <c:minorTickMark val="none"/>
        <c:tickLblPos val="nextTo"/>
        <c:crossAx val="671042504"/>
        <c:crosses val="autoZero"/>
        <c:crossBetween val="between"/>
      </c:valAx>
      <c:catAx>
        <c:axId val="671042504"/>
        <c:scaling>
          <c:orientation val="minMax"/>
        </c:scaling>
        <c:delete val="1"/>
        <c:axPos val="b"/>
        <c:majorTickMark val="none"/>
        <c:minorTickMark val="none"/>
        <c:tickLblPos val="nextTo"/>
        <c:crossAx val="671046768"/>
        <c:crosses val="autoZero"/>
        <c:auto val="1"/>
        <c:lblAlgn val="ctr"/>
        <c:lblOffset val="100"/>
        <c:noMultiLvlLbl val="0"/>
      </c:cat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UK Top 10 Salary Increments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3.8001165876857181E-2"/>
          <c:y val="0.21443849206349205"/>
          <c:w val="0.82417837099855473"/>
          <c:h val="0.59070833333333328"/>
        </c:manualLayout>
      </c:layout>
      <c:barChart>
        <c:barDir val="col"/>
        <c:grouping val="clustered"/>
        <c:varyColors val="0"/>
        <c:ser>
          <c:idx val="0"/>
          <c:order val="0"/>
          <c:tx>
            <c:v>Salary Increments</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'Income Discretised ReversPareto'!$W$95:$W$104</c:f>
              <c:numCache>
                <c:formatCode>#,##0</c:formatCode>
                <c:ptCount val="10"/>
                <c:pt idx="0">
                  <c:v>2300</c:v>
                </c:pt>
                <c:pt idx="1">
                  <c:v>2800</c:v>
                </c:pt>
                <c:pt idx="2">
                  <c:v>3300</c:v>
                </c:pt>
                <c:pt idx="3">
                  <c:v>4000</c:v>
                </c:pt>
                <c:pt idx="4">
                  <c:v>5200</c:v>
                </c:pt>
                <c:pt idx="5">
                  <c:v>6600</c:v>
                </c:pt>
                <c:pt idx="6">
                  <c:v>9200</c:v>
                </c:pt>
                <c:pt idx="7">
                  <c:v>12600</c:v>
                </c:pt>
                <c:pt idx="8">
                  <c:v>22400</c:v>
                </c:pt>
                <c:pt idx="9">
                  <c:v>54000</c:v>
                </c:pt>
              </c:numCache>
            </c:numRef>
          </c:val>
          <c:extLst>
            <c:ext xmlns:c16="http://schemas.microsoft.com/office/drawing/2014/chart" uri="{C3380CC4-5D6E-409C-BE32-E72D297353CC}">
              <c16:uniqueId val="{00000000-7886-4FD8-8018-6174C1A6FE7D}"/>
            </c:ext>
          </c:extLst>
        </c:ser>
        <c:dLbls>
          <c:showLegendKey val="0"/>
          <c:showVal val="0"/>
          <c:showCatName val="0"/>
          <c:showSerName val="0"/>
          <c:showPercent val="0"/>
          <c:showBubbleSize val="0"/>
        </c:dLbls>
        <c:gapWidth val="219"/>
        <c:overlap val="-27"/>
        <c:axId val="821395424"/>
        <c:axId val="821398704"/>
      </c:barChart>
      <c:lineChart>
        <c:grouping val="standard"/>
        <c:varyColors val="0"/>
        <c:ser>
          <c:idx val="1"/>
          <c:order val="1"/>
          <c:tx>
            <c:v>Pattern</c:v>
          </c:tx>
          <c:spPr>
            <a:ln w="34925" cap="rnd">
              <a:solidFill>
                <a:schemeClr val="accent2"/>
              </a:solidFill>
              <a:round/>
            </a:ln>
            <a:effectLst>
              <a:outerShdw blurRad="57150" dist="19050" dir="5400000" algn="ctr" rotWithShape="0">
                <a:srgbClr val="000000">
                  <a:alpha val="63000"/>
                </a:srgbClr>
              </a:outerShdw>
            </a:effectLst>
          </c:spPr>
          <c:marker>
            <c:symbol val="none"/>
          </c:marker>
          <c:val>
            <c:numRef>
              <c:f>'Income Discretised ReversPareto'!$W$95:$W$104</c:f>
              <c:numCache>
                <c:formatCode>#,##0</c:formatCode>
                <c:ptCount val="10"/>
                <c:pt idx="0">
                  <c:v>2300</c:v>
                </c:pt>
                <c:pt idx="1">
                  <c:v>2800</c:v>
                </c:pt>
                <c:pt idx="2">
                  <c:v>3300</c:v>
                </c:pt>
                <c:pt idx="3">
                  <c:v>4000</c:v>
                </c:pt>
                <c:pt idx="4">
                  <c:v>5200</c:v>
                </c:pt>
                <c:pt idx="5">
                  <c:v>6600</c:v>
                </c:pt>
                <c:pt idx="6">
                  <c:v>9200</c:v>
                </c:pt>
                <c:pt idx="7">
                  <c:v>12600</c:v>
                </c:pt>
                <c:pt idx="8">
                  <c:v>22400</c:v>
                </c:pt>
                <c:pt idx="9">
                  <c:v>54000</c:v>
                </c:pt>
              </c:numCache>
            </c:numRef>
          </c:val>
          <c:smooth val="0"/>
          <c:extLst>
            <c:ext xmlns:c16="http://schemas.microsoft.com/office/drawing/2014/chart" uri="{C3380CC4-5D6E-409C-BE32-E72D297353CC}">
              <c16:uniqueId val="{00000001-7886-4FD8-8018-6174C1A6FE7D}"/>
            </c:ext>
          </c:extLst>
        </c:ser>
        <c:dLbls>
          <c:showLegendKey val="0"/>
          <c:showVal val="0"/>
          <c:showCatName val="0"/>
          <c:showSerName val="0"/>
          <c:showPercent val="0"/>
          <c:showBubbleSize val="0"/>
        </c:dLbls>
        <c:marker val="1"/>
        <c:smooth val="0"/>
        <c:axId val="779596792"/>
        <c:axId val="821374760"/>
      </c:lineChart>
      <c:catAx>
        <c:axId val="779596792"/>
        <c:scaling>
          <c:orientation val="minMax"/>
        </c:scaling>
        <c:delete val="0"/>
        <c:axPos val="b"/>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1374760"/>
        <c:crosses val="autoZero"/>
        <c:auto val="1"/>
        <c:lblAlgn val="ctr"/>
        <c:lblOffset val="100"/>
        <c:noMultiLvlLbl val="0"/>
      </c:catAx>
      <c:valAx>
        <c:axId val="82137476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779596792"/>
        <c:crosses val="autoZero"/>
        <c:crossBetween val="between"/>
      </c:valAx>
      <c:valAx>
        <c:axId val="821398704"/>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1395424"/>
        <c:crosses val="max"/>
        <c:crossBetween val="between"/>
      </c:valAx>
      <c:catAx>
        <c:axId val="821395424"/>
        <c:scaling>
          <c:orientation val="minMax"/>
        </c:scaling>
        <c:delete val="1"/>
        <c:axPos val="b"/>
        <c:majorTickMark val="none"/>
        <c:minorTickMark val="none"/>
        <c:tickLblPos val="nextTo"/>
        <c:crossAx val="821398704"/>
        <c:crosses val="autoZero"/>
        <c:auto val="1"/>
        <c:lblAlgn val="ctr"/>
        <c:lblOffset val="100"/>
        <c:noMultiLvlLbl val="0"/>
      </c:cat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6</xdr:col>
      <xdr:colOff>33130</xdr:colOff>
      <xdr:row>8</xdr:row>
      <xdr:rowOff>1</xdr:rowOff>
    </xdr:from>
    <xdr:to>
      <xdr:col>6</xdr:col>
      <xdr:colOff>563217</xdr:colOff>
      <xdr:row>9</xdr:row>
      <xdr:rowOff>66261</xdr:rowOff>
    </xdr:to>
    <xdr:sp macro="" textlink="">
      <xdr:nvSpPr>
        <xdr:cNvPr id="2" name="Right Arrow 1">
          <a:extLst>
            <a:ext uri="{FF2B5EF4-FFF2-40B4-BE49-F238E27FC236}">
              <a16:creationId xmlns:a16="http://schemas.microsoft.com/office/drawing/2014/main" id="{00000000-0008-0000-0000-000002000000}"/>
            </a:ext>
          </a:extLst>
        </xdr:cNvPr>
        <xdr:cNvSpPr/>
      </xdr:nvSpPr>
      <xdr:spPr>
        <a:xfrm>
          <a:off x="3263347" y="1350066"/>
          <a:ext cx="530087" cy="265043"/>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7327</xdr:colOff>
      <xdr:row>13</xdr:row>
      <xdr:rowOff>65941</xdr:rowOff>
    </xdr:from>
    <xdr:to>
      <xdr:col>7</xdr:col>
      <xdr:colOff>15174</xdr:colOff>
      <xdr:row>24</xdr:row>
      <xdr:rowOff>92826</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87923</xdr:colOff>
      <xdr:row>1</xdr:row>
      <xdr:rowOff>168518</xdr:rowOff>
    </xdr:from>
    <xdr:to>
      <xdr:col>16</xdr:col>
      <xdr:colOff>535385</xdr:colOff>
      <xdr:row>13</xdr:row>
      <xdr:rowOff>14654</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7</xdr:col>
      <xdr:colOff>205154</xdr:colOff>
      <xdr:row>13</xdr:row>
      <xdr:rowOff>65941</xdr:rowOff>
    </xdr:from>
    <xdr:to>
      <xdr:col>12</xdr:col>
      <xdr:colOff>7327</xdr:colOff>
      <xdr:row>24</xdr:row>
      <xdr:rowOff>92826</xdr:rowOff>
    </xdr:to>
    <xdr:graphicFrame macro="">
      <xdr:nvGraphicFramePr>
        <xdr:cNvPr id="4" name="Chart 3">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185738</xdr:colOff>
      <xdr:row>216</xdr:row>
      <xdr:rowOff>109537</xdr:rowOff>
    </xdr:from>
    <xdr:to>
      <xdr:col>8</xdr:col>
      <xdr:colOff>1727</xdr:colOff>
      <xdr:row>224</xdr:row>
      <xdr:rowOff>82686</xdr:rowOff>
    </xdr:to>
    <xdr:pic>
      <xdr:nvPicPr>
        <xdr:cNvPr id="2" name="Picture 1">
          <a:extLst>
            <a:ext uri="{FF2B5EF4-FFF2-40B4-BE49-F238E27FC236}">
              <a16:creationId xmlns:a16="http://schemas.microsoft.com/office/drawing/2014/main" id="{00000000-0008-0000-0200-000002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33688" y="44067412"/>
          <a:ext cx="1444764" cy="14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10</xdr:col>
      <xdr:colOff>104774</xdr:colOff>
      <xdr:row>0</xdr:row>
      <xdr:rowOff>38099</xdr:rowOff>
    </xdr:from>
    <xdr:to>
      <xdr:col>16</xdr:col>
      <xdr:colOff>399602</xdr:colOff>
      <xdr:row>3</xdr:row>
      <xdr:rowOff>673799</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447673</xdr:colOff>
      <xdr:row>0</xdr:row>
      <xdr:rowOff>38099</xdr:rowOff>
    </xdr:from>
    <xdr:to>
      <xdr:col>23</xdr:col>
      <xdr:colOff>28126</xdr:colOff>
      <xdr:row>3</xdr:row>
      <xdr:rowOff>673799</xdr:rowOff>
    </xdr:to>
    <xdr:graphicFrame macro="">
      <xdr:nvGraphicFramePr>
        <xdr:cNvPr id="4" name="Chart 3">
          <a:extLst>
            <a:ext uri="{FF2B5EF4-FFF2-40B4-BE49-F238E27FC236}">
              <a16:creationId xmlns:a16="http://schemas.microsoft.com/office/drawing/2014/main" id="{00000000-0008-0000-0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rf03200\team\KAI-IS-DP-SPI-02-R\2009-10\IRS\Excel%20Files\working%20files\Comparison%202003-04%20to%202004-05_postn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ction"/>
      <sheetName val="3.1"/>
      <sheetName val="3.2"/>
      <sheetName val="3.3"/>
      <sheetName val="3.4"/>
      <sheetName val="3.4 "/>
      <sheetName val="3.5"/>
      <sheetName val="3.6"/>
      <sheetName val="3.7"/>
      <sheetName val="3.8"/>
      <sheetName val="3.11"/>
      <sheetName val="3.12"/>
      <sheetName val="3.13"/>
      <sheetName val="3.14"/>
      <sheetName val="3.1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F15" totalsRowShown="0" headerRowDxfId="12" dataDxfId="10" headerRowBorderDxfId="11" tableBorderDxfId="9">
  <autoFilter ref="B5:F15" xr:uid="{00000000-0009-0000-0100-000001000000}"/>
  <sortState xmlns:xlrd2="http://schemas.microsoft.com/office/spreadsheetml/2017/richdata2" ref="B6:F15">
    <sortCondition ref="E5:E15"/>
  </sortState>
  <tableColumns count="5">
    <tableColumn id="1" xr3:uid="{00000000-0010-0000-0000-000001000000}" name="ID" dataDxfId="8"/>
    <tableColumn id="2" xr3:uid="{00000000-0010-0000-0000-000002000000}" name="Home Owner" dataDxfId="7"/>
    <tableColumn id="3" xr3:uid="{00000000-0010-0000-0000-000003000000}" name="Marital Status" dataDxfId="6"/>
    <tableColumn id="4" xr3:uid="{00000000-0010-0000-0000-000004000000}" name="Annual Income" dataDxfId="5"/>
    <tableColumn id="5" xr3:uid="{00000000-0010-0000-0000-000005000000}" name="Defaulted Borrower" dataDxfId="4"/>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hyperlink" Target="https://www.gov.uk/government/collections/personal-incomes-statistics" TargetMode="External"/><Relationship Id="rId2" Type="http://schemas.openxmlformats.org/officeDocument/2006/relationships/hyperlink" Target="http://www.statistics.gov.uk/" TargetMode="External"/><Relationship Id="rId1" Type="http://schemas.openxmlformats.org/officeDocument/2006/relationships/hyperlink" Target="http://www.hmrc.gov.uk/" TargetMode="External"/><Relationship Id="rId6" Type="http://schemas.openxmlformats.org/officeDocument/2006/relationships/drawing" Target="../drawings/drawing3.xml"/><Relationship Id="rId5" Type="http://schemas.openxmlformats.org/officeDocument/2006/relationships/printerSettings" Target="../printerSettings/printerSettings2.bin"/><Relationship Id="rId4" Type="http://schemas.openxmlformats.org/officeDocument/2006/relationships/hyperlink" Target="https://www.gov.uk/government/collections/personal-incomes-statistic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J18"/>
  <sheetViews>
    <sheetView zoomScale="145" zoomScaleNormal="145" workbookViewId="0">
      <selection activeCell="H12" sqref="H12"/>
    </sheetView>
  </sheetViews>
  <sheetFormatPr defaultRowHeight="12.5" x14ac:dyDescent="0.25"/>
  <cols>
    <col min="1" max="1" width="2.1796875" customWidth="1"/>
    <col min="2" max="6" width="9.7265625" customWidth="1"/>
    <col min="7" max="7" width="9.1796875" customWidth="1"/>
    <col min="8" max="8" width="23" customWidth="1"/>
    <col min="9" max="29" width="6.7265625" customWidth="1"/>
    <col min="31" max="35" width="9.7265625" customWidth="1"/>
  </cols>
  <sheetData>
    <row r="1" spans="2:36" ht="20" x14ac:dyDescent="0.4">
      <c r="H1" s="153" t="s">
        <v>16</v>
      </c>
      <c r="I1" s="153"/>
      <c r="J1" s="153"/>
      <c r="K1" s="153"/>
      <c r="L1" s="153"/>
      <c r="M1" s="153"/>
      <c r="N1" s="153"/>
      <c r="O1" s="153"/>
      <c r="P1" s="153"/>
      <c r="Q1" s="153"/>
      <c r="R1" s="153"/>
      <c r="S1" s="153"/>
      <c r="T1" s="153"/>
      <c r="U1" s="153"/>
      <c r="V1" s="153"/>
      <c r="W1" s="153"/>
      <c r="X1" s="153"/>
      <c r="Y1" s="153"/>
      <c r="Z1" s="153"/>
      <c r="AA1" s="153"/>
      <c r="AB1" s="153"/>
      <c r="AC1" s="153"/>
    </row>
    <row r="2" spans="2:36" ht="13" x14ac:dyDescent="0.3">
      <c r="B2" s="29" t="s">
        <v>110</v>
      </c>
      <c r="C2" s="30"/>
      <c r="D2" s="30"/>
      <c r="E2" s="30"/>
      <c r="F2" s="30"/>
      <c r="J2" s="35"/>
      <c r="K2" s="35"/>
      <c r="L2" s="35"/>
      <c r="M2" s="35"/>
      <c r="N2" s="35"/>
      <c r="O2" s="35"/>
      <c r="P2" s="35"/>
      <c r="Q2" s="35"/>
      <c r="R2" s="35"/>
      <c r="S2" s="35"/>
      <c r="T2" s="35"/>
      <c r="U2" s="35"/>
      <c r="V2" s="35"/>
      <c r="W2" s="35"/>
      <c r="X2" s="35"/>
      <c r="Y2" s="35"/>
      <c r="Z2" s="35"/>
      <c r="AA2" s="35"/>
      <c r="AB2" s="35"/>
      <c r="AC2" s="35"/>
    </row>
    <row r="3" spans="2:36" ht="13.5" thickBot="1" x14ac:dyDescent="0.35">
      <c r="B3" s="29" t="s">
        <v>111</v>
      </c>
      <c r="C3" s="30"/>
      <c r="D3" s="30"/>
      <c r="E3" s="30"/>
      <c r="F3" s="30"/>
      <c r="J3" s="35"/>
      <c r="K3" s="35"/>
      <c r="L3" s="35"/>
      <c r="M3" s="35"/>
      <c r="N3" s="35"/>
      <c r="O3" s="35"/>
      <c r="P3" s="35"/>
      <c r="Q3" s="35"/>
      <c r="R3" s="35"/>
      <c r="S3" s="35"/>
      <c r="T3" s="35"/>
      <c r="U3" s="35"/>
      <c r="V3" s="35"/>
      <c r="W3" s="35"/>
      <c r="X3" s="35"/>
      <c r="Y3" s="35"/>
      <c r="Z3" s="35"/>
      <c r="AA3" s="35"/>
      <c r="AB3" s="35"/>
      <c r="AC3" s="35"/>
    </row>
    <row r="4" spans="2:36" ht="13.5" thickBot="1" x14ac:dyDescent="0.35">
      <c r="B4" s="156" t="s">
        <v>14</v>
      </c>
      <c r="C4" s="157"/>
      <c r="D4" s="157"/>
      <c r="E4" s="157"/>
      <c r="F4" s="158"/>
      <c r="H4" s="39" t="s">
        <v>13</v>
      </c>
      <c r="I4" s="40"/>
      <c r="J4" s="154" t="str">
        <f>F6</f>
        <v>No</v>
      </c>
      <c r="K4" s="155"/>
      <c r="L4" s="154" t="str">
        <f>F7</f>
        <v>No</v>
      </c>
      <c r="M4" s="155"/>
      <c r="N4" s="154" t="str">
        <f>F8</f>
        <v>No</v>
      </c>
      <c r="O4" s="155"/>
      <c r="P4" s="154" t="str">
        <f>F9</f>
        <v>Yes</v>
      </c>
      <c r="Q4" s="155"/>
      <c r="R4" s="154" t="str">
        <f>F10</f>
        <v>Yes</v>
      </c>
      <c r="S4" s="155"/>
      <c r="T4" s="154" t="str">
        <f>F11</f>
        <v>Yes</v>
      </c>
      <c r="U4" s="155"/>
      <c r="V4" s="154" t="str">
        <f>F12</f>
        <v>No</v>
      </c>
      <c r="W4" s="155"/>
      <c r="X4" s="154" t="str">
        <f>F13</f>
        <v>No</v>
      </c>
      <c r="Y4" s="155"/>
      <c r="Z4" s="154" t="str">
        <f>F14</f>
        <v>No</v>
      </c>
      <c r="AA4" s="155"/>
      <c r="AB4" s="154" t="str">
        <f>F15</f>
        <v>No</v>
      </c>
      <c r="AC4" s="155"/>
      <c r="AJ4" s="1"/>
    </row>
    <row r="5" spans="2:36" ht="24" customHeight="1" thickBot="1" x14ac:dyDescent="0.3">
      <c r="B5" s="31" t="s">
        <v>9</v>
      </c>
      <c r="C5" s="31" t="s">
        <v>20</v>
      </c>
      <c r="D5" s="31" t="s">
        <v>22</v>
      </c>
      <c r="E5" s="31" t="s">
        <v>21</v>
      </c>
      <c r="F5" s="32" t="s">
        <v>13</v>
      </c>
      <c r="H5" s="18" t="s">
        <v>2</v>
      </c>
      <c r="I5" s="20"/>
      <c r="J5" s="149">
        <f>E$6</f>
        <v>60</v>
      </c>
      <c r="K5" s="150"/>
      <c r="L5" s="149">
        <f>E7</f>
        <v>70</v>
      </c>
      <c r="M5" s="150"/>
      <c r="N5" s="149">
        <f>E8</f>
        <v>75</v>
      </c>
      <c r="O5" s="150"/>
      <c r="P5" s="149">
        <f>E9</f>
        <v>85</v>
      </c>
      <c r="Q5" s="150"/>
      <c r="R5" s="149">
        <f>E10</f>
        <v>90</v>
      </c>
      <c r="S5" s="150"/>
      <c r="T5" s="149">
        <f>E11</f>
        <v>95</v>
      </c>
      <c r="U5" s="150"/>
      <c r="V5" s="149">
        <f>E12</f>
        <v>100</v>
      </c>
      <c r="W5" s="150"/>
      <c r="X5" s="149">
        <f>E13</f>
        <v>120</v>
      </c>
      <c r="Y5" s="150"/>
      <c r="Z5" s="149">
        <f>E14</f>
        <v>125</v>
      </c>
      <c r="AA5" s="150"/>
      <c r="AB5" s="149">
        <f>E15</f>
        <v>150</v>
      </c>
      <c r="AC5" s="150"/>
      <c r="AJ5" s="9"/>
    </row>
    <row r="6" spans="2:36" ht="15.5" x14ac:dyDescent="0.35">
      <c r="B6" s="33">
        <v>6</v>
      </c>
      <c r="C6" s="33" t="s">
        <v>0</v>
      </c>
      <c r="D6" s="33" t="s">
        <v>11</v>
      </c>
      <c r="E6" s="34">
        <v>60</v>
      </c>
      <c r="F6" s="36" t="s">
        <v>0</v>
      </c>
      <c r="H6" s="23" t="s">
        <v>19</v>
      </c>
      <c r="I6" s="4" t="s">
        <v>18</v>
      </c>
      <c r="J6" s="3" t="str">
        <f>"&lt;=" &amp; AVERAGE(J5:M5)</f>
        <v>&lt;=65</v>
      </c>
      <c r="K6" s="4" t="str">
        <f>"&gt;" &amp; AVERAGE(J5:M5)</f>
        <v>&gt;65</v>
      </c>
      <c r="L6" s="3" t="str">
        <f>"&lt;=" &amp; AVERAGE(L5:O5)</f>
        <v>&lt;=72.5</v>
      </c>
      <c r="M6" s="4" t="str">
        <f>"&gt;" &amp; AVERAGE(L5:O5)</f>
        <v>&gt;72.5</v>
      </c>
      <c r="N6" s="3" t="str">
        <f>"&lt;=" &amp; AVERAGE(N5:Q5)</f>
        <v>&lt;=80</v>
      </c>
      <c r="O6" s="4" t="str">
        <f>"&gt;" &amp; AVERAGE(N5:Q5)</f>
        <v>&gt;80</v>
      </c>
      <c r="P6" s="3" t="str">
        <f>"&lt;=" &amp; AVERAGE(P5:S5)</f>
        <v>&lt;=87.5</v>
      </c>
      <c r="Q6" s="4" t="str">
        <f>"&gt;" &amp; AVERAGE(P5:S5)</f>
        <v>&gt;87.5</v>
      </c>
      <c r="R6" s="3" t="str">
        <f>"&lt;=" &amp; AVERAGE(R5:U5)</f>
        <v>&lt;=92.5</v>
      </c>
      <c r="S6" s="4" t="str">
        <f>"&gt;" &amp; AVERAGE(R5:U5)</f>
        <v>&gt;92.5</v>
      </c>
      <c r="T6" s="3" t="str">
        <f>"&lt;=" &amp; AVERAGE(T5:W5)</f>
        <v>&lt;=97.5</v>
      </c>
      <c r="U6" s="4" t="str">
        <f>"&gt;" &amp; AVERAGE(T5:W5)</f>
        <v>&gt;97.5</v>
      </c>
      <c r="V6" s="3" t="str">
        <f>"&lt;=" &amp; AVERAGE(V5:Y5)</f>
        <v>&lt;=110</v>
      </c>
      <c r="W6" s="4" t="str">
        <f>"&gt;" &amp; AVERAGE(V5:Y5)</f>
        <v>&gt;110</v>
      </c>
      <c r="X6" s="3" t="str">
        <f>"&lt;=" &amp; AVERAGE(X5:AA5)</f>
        <v>&lt;=122.5</v>
      </c>
      <c r="Y6" s="4" t="str">
        <f>"&gt;" &amp; AVERAGE(X5:AA5)</f>
        <v>&gt;122.5</v>
      </c>
      <c r="Z6" s="3" t="str">
        <f>"&lt;=" &amp; AVERAGE(Z5:AC5)</f>
        <v>&lt;=137.5</v>
      </c>
      <c r="AA6" s="4" t="str">
        <f>"&gt;" &amp; AVERAGE(Z5:AC5)</f>
        <v>&gt;137.5</v>
      </c>
      <c r="AB6" s="3" t="str">
        <f>"&lt;=" &amp; AVERAGE(AB5:AD5)</f>
        <v>&lt;=150</v>
      </c>
      <c r="AC6" s="4" t="str">
        <f>"&gt;" &amp; AVERAGE(AB5:AD5)</f>
        <v>&gt;150</v>
      </c>
    </row>
    <row r="7" spans="2:36" ht="15.5" x14ac:dyDescent="0.3">
      <c r="B7" s="33">
        <v>3</v>
      </c>
      <c r="C7" s="33" t="s">
        <v>0</v>
      </c>
      <c r="D7" s="33" t="s">
        <v>10</v>
      </c>
      <c r="E7" s="34">
        <v>70</v>
      </c>
      <c r="F7" s="37" t="s">
        <v>0</v>
      </c>
      <c r="H7" s="14" t="s">
        <v>112</v>
      </c>
      <c r="I7" s="6">
        <f>COUNTIF(J4:$AC$4,"Yes")</f>
        <v>3</v>
      </c>
      <c r="J7" s="5">
        <f>COUNTIF($I$4:K4,"Yes")</f>
        <v>0</v>
      </c>
      <c r="K7" s="6">
        <f>COUNTIF(L4:$AC$4,"Yes")</f>
        <v>3</v>
      </c>
      <c r="L7" s="5">
        <f>COUNTIF($I$4:M4,"Yes")</f>
        <v>0</v>
      </c>
      <c r="M7" s="6">
        <f>COUNTIF(N4:$AC$4,"Yes")</f>
        <v>3</v>
      </c>
      <c r="N7" s="5">
        <f>COUNTIF($I$4:O4,"Yes")</f>
        <v>0</v>
      </c>
      <c r="O7" s="6">
        <f>COUNTIF(P4:$AC$4,"Yes")</f>
        <v>3</v>
      </c>
      <c r="P7" s="5">
        <f>COUNTIF($I$4:Q4,"Yes")</f>
        <v>1</v>
      </c>
      <c r="Q7" s="6">
        <f>COUNTIF(R4:$AC$4,"Yes")</f>
        <v>2</v>
      </c>
      <c r="R7" s="5">
        <f>COUNTIF($I$4:S4,"Yes")</f>
        <v>2</v>
      </c>
      <c r="S7" s="6">
        <f>COUNTIF(T4:$AC$4,"Yes")</f>
        <v>1</v>
      </c>
      <c r="T7" s="5">
        <f>COUNTIF($I$4:U4,"Yes")</f>
        <v>3</v>
      </c>
      <c r="U7" s="6">
        <f>COUNTIF(V4:$AC$4,"Yes")</f>
        <v>0</v>
      </c>
      <c r="V7" s="5">
        <f>COUNTIF($I$4:W4,"Yes")</f>
        <v>3</v>
      </c>
      <c r="W7" s="6">
        <f>COUNTIF(X4:$AC$4,"Yes")</f>
        <v>0</v>
      </c>
      <c r="X7" s="5">
        <f>COUNTIF($I$4:Y4,"Yes")</f>
        <v>3</v>
      </c>
      <c r="Y7" s="6">
        <f>COUNTIF(Z4:$AC$4,"Yes")</f>
        <v>0</v>
      </c>
      <c r="Z7" s="5">
        <f>COUNTIF($I$4:AA4,"Yes")</f>
        <v>3</v>
      </c>
      <c r="AA7" s="6">
        <f>COUNTIF(AB4:$AC$4,"Yes")</f>
        <v>0</v>
      </c>
      <c r="AB7" s="5">
        <f>COUNTIF($I$4:AC4,"Yes")</f>
        <v>3</v>
      </c>
      <c r="AC7" s="6">
        <f>COUNTIF($AC4:AD$4,"Yes")</f>
        <v>0</v>
      </c>
    </row>
    <row r="8" spans="2:36" ht="13" x14ac:dyDescent="0.3">
      <c r="B8" s="33">
        <v>9</v>
      </c>
      <c r="C8" s="33" t="s">
        <v>0</v>
      </c>
      <c r="D8" s="33" t="s">
        <v>11</v>
      </c>
      <c r="E8" s="34">
        <v>75</v>
      </c>
      <c r="F8" s="37" t="s">
        <v>0</v>
      </c>
      <c r="H8" s="15" t="s">
        <v>3</v>
      </c>
      <c r="I8" s="11">
        <f>I7/(I7+I9)</f>
        <v>0.3</v>
      </c>
      <c r="J8" s="10">
        <f>IFERROR(J7/(J7+J9),0)</f>
        <v>0</v>
      </c>
      <c r="K8" s="11">
        <f>IFERROR(K7/(K7+K9),0)</f>
        <v>0.33333333333333331</v>
      </c>
      <c r="L8" s="10">
        <f t="shared" ref="L8:AC8" si="0">IFERROR(L7/(L7+L9),0)</f>
        <v>0</v>
      </c>
      <c r="M8" s="11">
        <f t="shared" si="0"/>
        <v>0.375</v>
      </c>
      <c r="N8" s="10">
        <f t="shared" si="0"/>
        <v>0</v>
      </c>
      <c r="O8" s="11">
        <f t="shared" si="0"/>
        <v>0.42857142857142855</v>
      </c>
      <c r="P8" s="10">
        <f t="shared" si="0"/>
        <v>0.25</v>
      </c>
      <c r="Q8" s="11">
        <f t="shared" si="0"/>
        <v>0.33333333333333331</v>
      </c>
      <c r="R8" s="10">
        <f t="shared" si="0"/>
        <v>0.4</v>
      </c>
      <c r="S8" s="11">
        <f t="shared" si="0"/>
        <v>0.2</v>
      </c>
      <c r="T8" s="10">
        <f t="shared" si="0"/>
        <v>0.5</v>
      </c>
      <c r="U8" s="11">
        <f t="shared" si="0"/>
        <v>0</v>
      </c>
      <c r="V8" s="10">
        <f t="shared" si="0"/>
        <v>0.42857142857142855</v>
      </c>
      <c r="W8" s="11">
        <f t="shared" si="0"/>
        <v>0</v>
      </c>
      <c r="X8" s="10">
        <f t="shared" si="0"/>
        <v>0.375</v>
      </c>
      <c r="Y8" s="11">
        <f t="shared" si="0"/>
        <v>0</v>
      </c>
      <c r="Z8" s="10">
        <f t="shared" si="0"/>
        <v>0.33333333333333331</v>
      </c>
      <c r="AA8" s="11">
        <f t="shared" si="0"/>
        <v>0</v>
      </c>
      <c r="AB8" s="10">
        <f t="shared" si="0"/>
        <v>0.3</v>
      </c>
      <c r="AC8" s="11">
        <f t="shared" si="0"/>
        <v>0</v>
      </c>
    </row>
    <row r="9" spans="2:36" ht="15.5" x14ac:dyDescent="0.3">
      <c r="B9" s="33">
        <v>8</v>
      </c>
      <c r="C9" s="33" t="s">
        <v>0</v>
      </c>
      <c r="D9" s="33" t="s">
        <v>10</v>
      </c>
      <c r="E9" s="34">
        <v>85</v>
      </c>
      <c r="F9" s="37" t="s">
        <v>1</v>
      </c>
      <c r="H9" s="16" t="s">
        <v>5</v>
      </c>
      <c r="I9" s="8">
        <f>COUNTIF(J4:$AC$4,"No")</f>
        <v>7</v>
      </c>
      <c r="J9" s="7">
        <f>COUNTIF($I$4:K4,"No")</f>
        <v>1</v>
      </c>
      <c r="K9" s="8">
        <f>COUNTIF(L4:$AC$4,"No")</f>
        <v>6</v>
      </c>
      <c r="L9" s="7">
        <f>COUNTIF($I$4:M4,"No")</f>
        <v>2</v>
      </c>
      <c r="M9" s="8">
        <f>COUNTIF(N4:$AC$4,"No")</f>
        <v>5</v>
      </c>
      <c r="N9" s="7">
        <f>COUNTIF($I$4:O4,"No")</f>
        <v>3</v>
      </c>
      <c r="O9" s="8">
        <f>COUNTIF(P4:$AC$4,"No")</f>
        <v>4</v>
      </c>
      <c r="P9" s="7">
        <f>COUNTIF($I$4:Q4,"No")</f>
        <v>3</v>
      </c>
      <c r="Q9" s="8">
        <f>COUNTIF(R4:$AC$4,"No")</f>
        <v>4</v>
      </c>
      <c r="R9" s="7">
        <f>COUNTIF($I$4:S4,"No")</f>
        <v>3</v>
      </c>
      <c r="S9" s="8">
        <f>COUNTIF(T4:$AC$4,"No")</f>
        <v>4</v>
      </c>
      <c r="T9" s="7">
        <f>COUNTIF($I$4:U4,"No")</f>
        <v>3</v>
      </c>
      <c r="U9" s="8">
        <f>COUNTIF(V4:$AC$4,"No")</f>
        <v>4</v>
      </c>
      <c r="V9" s="7">
        <f>COUNTIF($I$4:W4,"No")</f>
        <v>4</v>
      </c>
      <c r="W9" s="8">
        <f>COUNTIF(X4:$AC$4,"No")</f>
        <v>3</v>
      </c>
      <c r="X9" s="7">
        <f>COUNTIF($I$4:Y4,"No")</f>
        <v>5</v>
      </c>
      <c r="Y9" s="8">
        <f>COUNTIF(Z4:$AC$4,"No")</f>
        <v>2</v>
      </c>
      <c r="Z9" s="7">
        <f>COUNTIF($I$4:AA4,"No")</f>
        <v>6</v>
      </c>
      <c r="AA9" s="8">
        <f>COUNTIF(AB4:$AC$4,"No")</f>
        <v>1</v>
      </c>
      <c r="AB9" s="7">
        <f>COUNTIF($I$4:AC4,"No")</f>
        <v>7</v>
      </c>
      <c r="AC9" s="8">
        <f>COUNTIF($AC4:AD$4,"No")</f>
        <v>0</v>
      </c>
    </row>
    <row r="10" spans="2:36" ht="13" x14ac:dyDescent="0.3">
      <c r="B10" s="33">
        <v>10</v>
      </c>
      <c r="C10" s="33" t="s">
        <v>0</v>
      </c>
      <c r="D10" s="33" t="s">
        <v>10</v>
      </c>
      <c r="E10" s="34">
        <v>90</v>
      </c>
      <c r="F10" s="37" t="s">
        <v>1</v>
      </c>
      <c r="H10" s="17" t="s">
        <v>4</v>
      </c>
      <c r="I10" s="13">
        <f>I9/(I7+I9)</f>
        <v>0.7</v>
      </c>
      <c r="J10" s="12">
        <f t="shared" ref="J10:AC10" si="1">IFERROR(J9/(J7+J9),0)</f>
        <v>1</v>
      </c>
      <c r="K10" s="13">
        <f t="shared" si="1"/>
        <v>0.66666666666666663</v>
      </c>
      <c r="L10" s="12">
        <f t="shared" si="1"/>
        <v>1</v>
      </c>
      <c r="M10" s="13">
        <f t="shared" si="1"/>
        <v>0.625</v>
      </c>
      <c r="N10" s="12">
        <f t="shared" si="1"/>
        <v>1</v>
      </c>
      <c r="O10" s="13">
        <f t="shared" si="1"/>
        <v>0.5714285714285714</v>
      </c>
      <c r="P10" s="12">
        <f t="shared" si="1"/>
        <v>0.75</v>
      </c>
      <c r="Q10" s="13">
        <f t="shared" si="1"/>
        <v>0.66666666666666663</v>
      </c>
      <c r="R10" s="12">
        <f t="shared" si="1"/>
        <v>0.6</v>
      </c>
      <c r="S10" s="13">
        <f t="shared" si="1"/>
        <v>0.8</v>
      </c>
      <c r="T10" s="12">
        <f t="shared" si="1"/>
        <v>0.5</v>
      </c>
      <c r="U10" s="13">
        <f t="shared" si="1"/>
        <v>1</v>
      </c>
      <c r="V10" s="12">
        <f t="shared" si="1"/>
        <v>0.5714285714285714</v>
      </c>
      <c r="W10" s="13">
        <f t="shared" si="1"/>
        <v>1</v>
      </c>
      <c r="X10" s="12">
        <f t="shared" si="1"/>
        <v>0.625</v>
      </c>
      <c r="Y10" s="13">
        <f t="shared" si="1"/>
        <v>1</v>
      </c>
      <c r="Z10" s="12">
        <f t="shared" si="1"/>
        <v>0.66666666666666663</v>
      </c>
      <c r="AA10" s="13">
        <f t="shared" si="1"/>
        <v>1</v>
      </c>
      <c r="AB10" s="12">
        <f t="shared" si="1"/>
        <v>0.7</v>
      </c>
      <c r="AC10" s="13">
        <f t="shared" si="1"/>
        <v>0</v>
      </c>
    </row>
    <row r="11" spans="2:36" ht="13" x14ac:dyDescent="0.3">
      <c r="B11" s="33">
        <v>5</v>
      </c>
      <c r="C11" s="33" t="s">
        <v>0</v>
      </c>
      <c r="D11" s="33" t="s">
        <v>12</v>
      </c>
      <c r="E11" s="34">
        <v>95</v>
      </c>
      <c r="F11" s="37" t="s">
        <v>1</v>
      </c>
      <c r="H11" s="14" t="s">
        <v>6</v>
      </c>
      <c r="I11" s="147">
        <v>1</v>
      </c>
      <c r="J11" s="148">
        <f>(J7+J9)/(J7+J9+K7+K9)</f>
        <v>0.1</v>
      </c>
      <c r="K11" s="147">
        <f>(K7+K9)/(J7+J9+K7+K9)</f>
        <v>0.9</v>
      </c>
      <c r="L11" s="148">
        <f>(L7+L9)/(L7+L9+M7+M9)</f>
        <v>0.2</v>
      </c>
      <c r="M11" s="147">
        <f>(M7+M9)/(L7+L9+M7+M9)</f>
        <v>0.8</v>
      </c>
      <c r="N11" s="148">
        <f>(N7+N9)/(N7+N9+O7+O9)</f>
        <v>0.3</v>
      </c>
      <c r="O11" s="147">
        <f>(O7+O9)/(N7+N9+O7+O9)</f>
        <v>0.7</v>
      </c>
      <c r="P11" s="148">
        <f>(P7+P9)/(P7+P9+Q7+Q9)</f>
        <v>0.4</v>
      </c>
      <c r="Q11" s="147">
        <f>(Q7+Q9)/(P7+P9+Q7+Q9)</f>
        <v>0.6</v>
      </c>
      <c r="R11" s="148">
        <f>(R7+R9)/(R7+R9+S7+S9)</f>
        <v>0.5</v>
      </c>
      <c r="S11" s="147">
        <f>(S7+S9)/(R7+R9+S7+S9)</f>
        <v>0.5</v>
      </c>
      <c r="T11" s="148">
        <f>(T7+T9)/(T7+T9+U7+U9)</f>
        <v>0.6</v>
      </c>
      <c r="U11" s="147">
        <f>(U7+U9)/(T7+T9+U7+U9)</f>
        <v>0.4</v>
      </c>
      <c r="V11" s="148">
        <f>(V7+V9)/(V7+V9+W7+W9)</f>
        <v>0.7</v>
      </c>
      <c r="W11" s="147">
        <f>(W7+W9)/(V7+V9+W7+W9)</f>
        <v>0.3</v>
      </c>
      <c r="X11" s="148">
        <f>(X7+X9)/(X7+X9+Y7+Y9)</f>
        <v>0.8</v>
      </c>
      <c r="Y11" s="147">
        <f>(Y7+Y9)/(X7+X9+Y7+Y9)</f>
        <v>0.2</v>
      </c>
      <c r="Z11" s="148">
        <f>(Z7+Z9)/(Z7+Z9+AA7+AA9)</f>
        <v>0.9</v>
      </c>
      <c r="AA11" s="147">
        <f>(AA7+AA9)/(Z7+Z9+AA7+AA9)</f>
        <v>0.1</v>
      </c>
      <c r="AB11" s="148">
        <f>(AB7+AB9)/(AB7+AB9+AC7+AC9)</f>
        <v>1</v>
      </c>
      <c r="AC11" s="147">
        <f>(AC7+AC9)/(AB7+AB9+AC7+AC9)</f>
        <v>0</v>
      </c>
    </row>
    <row r="12" spans="2:36" ht="13" x14ac:dyDescent="0.3">
      <c r="B12" s="33">
        <v>2</v>
      </c>
      <c r="C12" s="33" t="s">
        <v>0</v>
      </c>
      <c r="D12" s="33" t="s">
        <v>11</v>
      </c>
      <c r="E12" s="34">
        <v>100</v>
      </c>
      <c r="F12" s="37" t="s">
        <v>0</v>
      </c>
      <c r="H12" s="16" t="s">
        <v>7</v>
      </c>
      <c r="I12" s="13">
        <f>1-(I8^2+I10^2)</f>
        <v>0.42000000000000004</v>
      </c>
      <c r="J12" s="12">
        <f>1-(J8^2+J10^2)</f>
        <v>0</v>
      </c>
      <c r="K12" s="13">
        <f>1-(K8^2+K10^2)</f>
        <v>0.44444444444444442</v>
      </c>
      <c r="L12" s="12">
        <f>1-(L8^2+L10^2)</f>
        <v>0</v>
      </c>
      <c r="M12" s="13">
        <f>1-(M8^2+M10^2)</f>
        <v>0.46875</v>
      </c>
      <c r="N12" s="12">
        <f t="shared" ref="N12:AC12" si="2">1-(N8^2+N10^2)</f>
        <v>0</v>
      </c>
      <c r="O12" s="13">
        <f t="shared" si="2"/>
        <v>0.48979591836734704</v>
      </c>
      <c r="P12" s="12">
        <f t="shared" si="2"/>
        <v>0.375</v>
      </c>
      <c r="Q12" s="13">
        <f t="shared" si="2"/>
        <v>0.44444444444444442</v>
      </c>
      <c r="R12" s="12">
        <f t="shared" si="2"/>
        <v>0.48</v>
      </c>
      <c r="S12" s="13">
        <f t="shared" si="2"/>
        <v>0.31999999999999984</v>
      </c>
      <c r="T12" s="12">
        <f t="shared" si="2"/>
        <v>0.5</v>
      </c>
      <c r="U12" s="13">
        <f t="shared" si="2"/>
        <v>0</v>
      </c>
      <c r="V12" s="12">
        <f t="shared" si="2"/>
        <v>0.48979591836734704</v>
      </c>
      <c r="W12" s="13">
        <f t="shared" si="2"/>
        <v>0</v>
      </c>
      <c r="X12" s="12">
        <f t="shared" si="2"/>
        <v>0.46875</v>
      </c>
      <c r="Y12" s="13">
        <f t="shared" si="2"/>
        <v>0</v>
      </c>
      <c r="Z12" s="12">
        <f t="shared" si="2"/>
        <v>0.44444444444444442</v>
      </c>
      <c r="AA12" s="13">
        <f t="shared" si="2"/>
        <v>0</v>
      </c>
      <c r="AB12" s="12">
        <f t="shared" si="2"/>
        <v>0.42000000000000004</v>
      </c>
      <c r="AC12" s="13">
        <f t="shared" si="2"/>
        <v>1</v>
      </c>
    </row>
    <row r="13" spans="2:36" ht="15.5" x14ac:dyDescent="0.3">
      <c r="B13" s="33">
        <v>4</v>
      </c>
      <c r="C13" s="33" t="s">
        <v>1</v>
      </c>
      <c r="D13" s="33" t="s">
        <v>11</v>
      </c>
      <c r="E13" s="34">
        <v>120</v>
      </c>
      <c r="F13" s="37" t="s">
        <v>0</v>
      </c>
      <c r="H13" s="27" t="s">
        <v>8</v>
      </c>
      <c r="I13" s="28">
        <f xml:space="preserve"> I12</f>
        <v>0.42000000000000004</v>
      </c>
      <c r="J13" s="151">
        <f>J11*J12 + K11*K12</f>
        <v>0.39999999999999997</v>
      </c>
      <c r="K13" s="152"/>
      <c r="L13" s="151">
        <f>L11*L12 + M11*M12</f>
        <v>0.375</v>
      </c>
      <c r="M13" s="152"/>
      <c r="N13" s="151">
        <f>N11*N12 + O11*O12</f>
        <v>0.34285714285714292</v>
      </c>
      <c r="O13" s="152"/>
      <c r="P13" s="151">
        <f>P11*P12 + Q11*Q12</f>
        <v>0.41666666666666669</v>
      </c>
      <c r="Q13" s="152"/>
      <c r="R13" s="151">
        <f>R11*R12 + S11*S12</f>
        <v>0.39999999999999991</v>
      </c>
      <c r="S13" s="152"/>
      <c r="T13" s="151">
        <f>T11*T12 + U11*U12</f>
        <v>0.3</v>
      </c>
      <c r="U13" s="152"/>
      <c r="V13" s="151">
        <f>V11*V12 + W11*W12</f>
        <v>0.34285714285714292</v>
      </c>
      <c r="W13" s="152"/>
      <c r="X13" s="151">
        <f>X11*X12 + Y11*Y12</f>
        <v>0.375</v>
      </c>
      <c r="Y13" s="152"/>
      <c r="Z13" s="151">
        <f>Z11*Z12 + AA11*AA12</f>
        <v>0.39999999999999997</v>
      </c>
      <c r="AA13" s="152"/>
      <c r="AB13" s="151">
        <f>AB11*AB12 + AC11*AC12</f>
        <v>0.42000000000000004</v>
      </c>
      <c r="AC13" s="152"/>
      <c r="AD13" s="2"/>
    </row>
    <row r="14" spans="2:36" ht="15" customHeight="1" thickBot="1" x14ac:dyDescent="0.35">
      <c r="B14" s="33">
        <v>1</v>
      </c>
      <c r="C14" s="33" t="s">
        <v>1</v>
      </c>
      <c r="D14" s="33" t="s">
        <v>10</v>
      </c>
      <c r="E14" s="34">
        <v>125</v>
      </c>
      <c r="F14" s="37" t="s">
        <v>0</v>
      </c>
      <c r="H14" s="22" t="s">
        <v>17</v>
      </c>
      <c r="I14" s="21"/>
      <c r="J14" s="160">
        <f>$I$13-J13</f>
        <v>2.0000000000000073E-2</v>
      </c>
      <c r="K14" s="161"/>
      <c r="L14" s="160">
        <f>$I$13-L13</f>
        <v>4.500000000000004E-2</v>
      </c>
      <c r="M14" s="161"/>
      <c r="N14" s="160">
        <f>$I$13-N13</f>
        <v>7.7142857142857124E-2</v>
      </c>
      <c r="O14" s="161"/>
      <c r="P14" s="160">
        <f>$I$13-P13</f>
        <v>3.3333333333333548E-3</v>
      </c>
      <c r="Q14" s="161"/>
      <c r="R14" s="160">
        <f>$I$13-R13</f>
        <v>2.0000000000000129E-2</v>
      </c>
      <c r="S14" s="161"/>
      <c r="T14" s="160">
        <f>$I$13-T13</f>
        <v>0.12000000000000005</v>
      </c>
      <c r="U14" s="161"/>
      <c r="V14" s="160">
        <f>$I$13-V13</f>
        <v>7.7142857142857124E-2</v>
      </c>
      <c r="W14" s="161"/>
      <c r="X14" s="160">
        <f>$I$13-X13</f>
        <v>4.500000000000004E-2</v>
      </c>
      <c r="Y14" s="161"/>
      <c r="Z14" s="160">
        <f>$I$13-Z13</f>
        <v>2.0000000000000073E-2</v>
      </c>
      <c r="AA14" s="161"/>
      <c r="AB14" s="160">
        <f>$I$13-AB13</f>
        <v>0</v>
      </c>
      <c r="AC14" s="161"/>
    </row>
    <row r="15" spans="2:36" ht="23.5" thickBot="1" x14ac:dyDescent="0.35">
      <c r="B15" s="33">
        <v>7</v>
      </c>
      <c r="C15" s="33" t="s">
        <v>1</v>
      </c>
      <c r="D15" s="33" t="s">
        <v>12</v>
      </c>
      <c r="E15" s="34">
        <v>150</v>
      </c>
      <c r="F15" s="38" t="s">
        <v>0</v>
      </c>
      <c r="H15" s="19" t="s">
        <v>15</v>
      </c>
      <c r="I15" s="24"/>
      <c r="J15" s="159" t="str">
        <f>INDEX(J6:AC6,MATCH(MIN(J13:AC13),J13:AC13,0))</f>
        <v>&lt;=97.5</v>
      </c>
      <c r="K15" s="159"/>
      <c r="L15" s="159"/>
      <c r="M15" s="159"/>
      <c r="N15" s="159"/>
      <c r="O15" s="159"/>
      <c r="P15" s="159"/>
      <c r="Q15" s="159"/>
      <c r="R15" s="159"/>
      <c r="S15" s="159"/>
      <c r="T15" s="162" t="str">
        <f>INDEX(J6:AC6,MATCH(MIN(J13:AC13),J13:AC13,0)+1)</f>
        <v>&gt;97.5</v>
      </c>
      <c r="U15" s="159"/>
      <c r="V15" s="159"/>
      <c r="W15" s="159"/>
      <c r="X15" s="159"/>
      <c r="Y15" s="159"/>
      <c r="Z15" s="159"/>
      <c r="AA15" s="163"/>
      <c r="AB15" s="24"/>
      <c r="AC15" s="41"/>
    </row>
    <row r="16" spans="2:36" x14ac:dyDescent="0.25">
      <c r="J16" s="26"/>
      <c r="K16" s="26"/>
      <c r="L16" s="26"/>
    </row>
    <row r="17" spans="10:13" x14ac:dyDescent="0.25">
      <c r="M17" s="25"/>
    </row>
    <row r="18" spans="10:13" x14ac:dyDescent="0.25">
      <c r="J18" s="146"/>
    </row>
  </sheetData>
  <mergeCells count="44">
    <mergeCell ref="AB14:AC14"/>
    <mergeCell ref="J14:K14"/>
    <mergeCell ref="L14:M14"/>
    <mergeCell ref="N14:O14"/>
    <mergeCell ref="P14:Q14"/>
    <mergeCell ref="R14:S14"/>
    <mergeCell ref="J15:S15"/>
    <mergeCell ref="T14:U14"/>
    <mergeCell ref="V14:W14"/>
    <mergeCell ref="X14:Y14"/>
    <mergeCell ref="Z14:AA14"/>
    <mergeCell ref="T15:AA15"/>
    <mergeCell ref="B4:F4"/>
    <mergeCell ref="V13:W13"/>
    <mergeCell ref="X13:Y13"/>
    <mergeCell ref="Z13:AA13"/>
    <mergeCell ref="AB13:AC13"/>
    <mergeCell ref="V4:W4"/>
    <mergeCell ref="X4:Y4"/>
    <mergeCell ref="Z4:AA4"/>
    <mergeCell ref="AB4:AC4"/>
    <mergeCell ref="J4:K4"/>
    <mergeCell ref="L4:M4"/>
    <mergeCell ref="N4:O4"/>
    <mergeCell ref="J13:K13"/>
    <mergeCell ref="L13:M13"/>
    <mergeCell ref="N13:O13"/>
    <mergeCell ref="P13:Q13"/>
    <mergeCell ref="J5:K5"/>
    <mergeCell ref="L5:M5"/>
    <mergeCell ref="R13:S13"/>
    <mergeCell ref="T13:U13"/>
    <mergeCell ref="H1:AC1"/>
    <mergeCell ref="Z5:AA5"/>
    <mergeCell ref="AB5:AC5"/>
    <mergeCell ref="N5:O5"/>
    <mergeCell ref="P5:Q5"/>
    <mergeCell ref="R5:S5"/>
    <mergeCell ref="T5:U5"/>
    <mergeCell ref="P4:Q4"/>
    <mergeCell ref="R4:S4"/>
    <mergeCell ref="T4:U4"/>
    <mergeCell ref="V5:W5"/>
    <mergeCell ref="X5:Y5"/>
  </mergeCells>
  <conditionalFormatting sqref="L13 I13:J13 N13 P13 R13 T13 V13 X13 Z13 AB13">
    <cfRule type="top10" dxfId="3" priority="32" bottom="1" rank="1"/>
  </conditionalFormatting>
  <conditionalFormatting sqref="I9 I7">
    <cfRule type="dataBar" priority="9">
      <dataBar>
        <cfvo type="min"/>
        <cfvo type="max"/>
        <color rgb="FFEFF9B5"/>
      </dataBar>
      <extLst>
        <ext xmlns:x14="http://schemas.microsoft.com/office/spreadsheetml/2009/9/main" uri="{B025F937-C7B1-47D3-B67F-A62EFF666E3E}">
          <x14:id>{47DD23D6-0A48-4435-A9A2-FD895C07CF1D}</x14:id>
        </ext>
      </extLst>
    </cfRule>
  </conditionalFormatting>
  <conditionalFormatting sqref="J9 J7 L7 L9 N7 N9 P7 P9 R7 R9 T7 T9 V7 V9 X7 X9 Z7 Z9 AB7 AB9">
    <cfRule type="dataBar" priority="8">
      <dataBar>
        <cfvo type="min"/>
        <cfvo type="max"/>
        <color theme="7" tint="0.79998168889431442"/>
      </dataBar>
      <extLst>
        <ext xmlns:x14="http://schemas.microsoft.com/office/spreadsheetml/2009/9/main" uri="{B025F937-C7B1-47D3-B67F-A62EFF666E3E}">
          <x14:id>{921D7586-4A17-477C-A067-C6E68561F4F9}</x14:id>
        </ext>
      </extLst>
    </cfRule>
  </conditionalFormatting>
  <conditionalFormatting sqref="K9 K7 M7 M9 O7 O9 Q7 Q9 S7 S9 U7 U9 W7 W9 Y7 Y9 AA7 AA9 AC7 AC9">
    <cfRule type="dataBar" priority="7">
      <dataBar>
        <cfvo type="min"/>
        <cfvo type="max"/>
        <color theme="5" tint="0.79998168889431442"/>
      </dataBar>
      <extLst>
        <ext xmlns:x14="http://schemas.microsoft.com/office/spreadsheetml/2009/9/main" uri="{B025F937-C7B1-47D3-B67F-A62EFF666E3E}">
          <x14:id>{BFCFA503-50BB-40E9-B115-35D381002B60}</x14:id>
        </ext>
      </extLst>
    </cfRule>
  </conditionalFormatting>
  <conditionalFormatting sqref="J14:AC14">
    <cfRule type="top10" dxfId="2" priority="6" rank="1"/>
  </conditionalFormatting>
  <conditionalFormatting sqref="J6:AC6">
    <cfRule type="expression" dxfId="1" priority="1">
      <formula>J6=INDEX($J$6:$AC$6,MATCH(MIN($J$13:$AC$13),$J$13:$AC$13)+1)</formula>
    </cfRule>
    <cfRule type="expression" dxfId="0" priority="2">
      <formula>J6=INDEX($J$6:$AC$6,MATCH(MIN($J$13:$AC$13),$J$13:$AC$13))</formula>
    </cfRule>
  </conditionalFormatting>
  <pageMargins left="0.7" right="0.7" top="0.75" bottom="0.75" header="0.3" footer="0.3"/>
  <pageSetup paperSize="9" orientation="portrait" r:id="rId1"/>
  <ignoredErrors>
    <ignoredError sqref="J7:AC7 K6:AC6 J9:AC12 L8:AC8" formula="1"/>
  </ignoredErrors>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47DD23D6-0A48-4435-A9A2-FD895C07CF1D}">
            <x14:dataBar minLength="0" maxLength="100" gradient="0">
              <x14:cfvo type="autoMin"/>
              <x14:cfvo type="autoMax"/>
              <x14:negativeFillColor rgb="FFFF0000"/>
              <x14:axisColor rgb="FF000000"/>
            </x14:dataBar>
          </x14:cfRule>
          <xm:sqref>I9 I7</xm:sqref>
        </x14:conditionalFormatting>
        <x14:conditionalFormatting xmlns:xm="http://schemas.microsoft.com/office/excel/2006/main">
          <x14:cfRule type="dataBar" id="{921D7586-4A17-477C-A067-C6E68561F4F9}">
            <x14:dataBar minLength="0" maxLength="100" gradient="0">
              <x14:cfvo type="autoMin"/>
              <x14:cfvo type="autoMax"/>
              <x14:negativeFillColor rgb="FFFF0000"/>
              <x14:axisColor rgb="FF000000"/>
            </x14:dataBar>
          </x14:cfRule>
          <xm:sqref>J9 J7 L7 L9 N7 N9 P7 P9 R7 R9 T7 T9 V7 V9 X7 X9 Z7 Z9 AB7 AB9</xm:sqref>
        </x14:conditionalFormatting>
        <x14:conditionalFormatting xmlns:xm="http://schemas.microsoft.com/office/excel/2006/main">
          <x14:cfRule type="dataBar" id="{BFCFA503-50BB-40E9-B115-35D381002B60}">
            <x14:dataBar minLength="0" maxLength="100" gradient="0">
              <x14:cfvo type="autoMin"/>
              <x14:cfvo type="autoMax"/>
              <x14:negativeFillColor rgb="FFFF0000"/>
              <x14:axisColor rgb="FF000000"/>
            </x14:dataBar>
          </x14:cfRule>
          <xm:sqref>K9 K7 M7 M9 O7 O9 Q7 Q9 S7 S9 U7 U9 W7 W9 Y7 Y9 AA7 AA9 AC7 AC9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L16"/>
  <sheetViews>
    <sheetView zoomScale="160" zoomScaleNormal="160" workbookViewId="0">
      <selection activeCell="N16" sqref="N16"/>
    </sheetView>
  </sheetViews>
  <sheetFormatPr defaultRowHeight="12.5" x14ac:dyDescent="0.25"/>
  <cols>
    <col min="1" max="1" width="4.453125" customWidth="1"/>
    <col min="2" max="2" width="7.81640625" customWidth="1"/>
    <col min="3" max="3" width="7.54296875" customWidth="1"/>
    <col min="4" max="4" width="2.1796875" customWidth="1"/>
    <col min="5" max="5" width="10.453125" customWidth="1"/>
    <col min="6" max="6" width="11" customWidth="1"/>
    <col min="7" max="7" width="16" customWidth="1"/>
    <col min="8" max="8" width="3.1796875" customWidth="1"/>
    <col min="9" max="9" width="9.453125" customWidth="1"/>
    <col min="10" max="10" width="10.1796875" customWidth="1"/>
    <col min="11" max="11" width="11.81640625" customWidth="1"/>
    <col min="12" max="12" width="13" customWidth="1"/>
  </cols>
  <sheetData>
    <row r="2" spans="2:12" ht="13.5" thickBot="1" x14ac:dyDescent="0.35">
      <c r="B2" s="166" t="s">
        <v>21</v>
      </c>
      <c r="C2" s="166"/>
      <c r="D2" s="127"/>
      <c r="E2" s="166" t="s">
        <v>109</v>
      </c>
      <c r="F2" s="166"/>
      <c r="G2" s="166"/>
      <c r="H2" s="127"/>
      <c r="I2" s="166" t="s">
        <v>108</v>
      </c>
      <c r="J2" s="166"/>
      <c r="K2" s="166"/>
      <c r="L2" s="166"/>
    </row>
    <row r="3" spans="2:12" ht="26.5" thickBot="1" x14ac:dyDescent="0.3">
      <c r="B3" s="128" t="s">
        <v>99</v>
      </c>
      <c r="C3" s="129" t="s">
        <v>100</v>
      </c>
      <c r="D3" s="130"/>
      <c r="E3" s="128" t="s">
        <v>97</v>
      </c>
      <c r="F3" s="132" t="s">
        <v>105</v>
      </c>
      <c r="G3" s="129" t="s">
        <v>25</v>
      </c>
      <c r="H3" s="131"/>
      <c r="I3" s="128" t="s">
        <v>98</v>
      </c>
      <c r="J3" s="132" t="s">
        <v>104</v>
      </c>
      <c r="K3" s="140" t="s">
        <v>26</v>
      </c>
      <c r="L3" s="141" t="s">
        <v>106</v>
      </c>
    </row>
    <row r="4" spans="2:12" x14ac:dyDescent="0.25">
      <c r="B4" s="135">
        <v>18</v>
      </c>
      <c r="C4" s="136">
        <f t="shared" ref="C4:C13" si="0">B4+F4</f>
        <v>48</v>
      </c>
      <c r="D4" s="46"/>
      <c r="E4" s="42" t="str">
        <f t="shared" ref="E4:E13" si="1">"["&amp; B4&amp;", "&amp;C4&amp;"["</f>
        <v>[18, 48[</v>
      </c>
      <c r="F4" s="46">
        <v>30</v>
      </c>
      <c r="G4" s="43" t="s">
        <v>23</v>
      </c>
      <c r="I4" s="142" t="str">
        <f>"["&amp; B4&amp;", "&amp;C4&amp;"["</f>
        <v>[18, 48[</v>
      </c>
      <c r="J4" s="144">
        <f>F4</f>
        <v>30</v>
      </c>
      <c r="K4" s="144" t="s">
        <v>23</v>
      </c>
      <c r="L4" s="145">
        <v>1</v>
      </c>
    </row>
    <row r="5" spans="2:12" x14ac:dyDescent="0.25">
      <c r="B5" s="133">
        <f t="shared" ref="B5:B13" si="2">C4</f>
        <v>48</v>
      </c>
      <c r="C5" s="134">
        <f t="shared" si="0"/>
        <v>66</v>
      </c>
      <c r="D5" s="46"/>
      <c r="E5" s="49" t="str">
        <f t="shared" si="1"/>
        <v>[48, 66[</v>
      </c>
      <c r="F5" s="45">
        <v>18</v>
      </c>
      <c r="G5" s="137" t="s">
        <v>90</v>
      </c>
      <c r="I5" s="167" t="str">
        <f>"["&amp; B5&amp;", "&amp;C6&amp;"["</f>
        <v>[48, 78[</v>
      </c>
      <c r="J5" s="169">
        <f>SUM(F5:F6)</f>
        <v>30</v>
      </c>
      <c r="K5" s="169" t="s">
        <v>101</v>
      </c>
      <c r="L5" s="164">
        <v>2</v>
      </c>
    </row>
    <row r="6" spans="2:12" x14ac:dyDescent="0.25">
      <c r="B6" s="135">
        <f t="shared" si="2"/>
        <v>66</v>
      </c>
      <c r="C6" s="136">
        <f t="shared" si="0"/>
        <v>78</v>
      </c>
      <c r="D6" s="46"/>
      <c r="E6" s="138" t="str">
        <f t="shared" si="1"/>
        <v>[66, 78[</v>
      </c>
      <c r="F6" s="47">
        <v>12</v>
      </c>
      <c r="G6" s="139" t="s">
        <v>91</v>
      </c>
      <c r="I6" s="168"/>
      <c r="J6" s="170"/>
      <c r="K6" s="170"/>
      <c r="L6" s="165"/>
    </row>
    <row r="7" spans="2:12" x14ac:dyDescent="0.25">
      <c r="B7" s="133">
        <f t="shared" si="2"/>
        <v>78</v>
      </c>
      <c r="C7" s="134">
        <f t="shared" si="0"/>
        <v>86</v>
      </c>
      <c r="D7" s="46"/>
      <c r="E7" s="49" t="str">
        <f t="shared" si="1"/>
        <v>[78, 86[</v>
      </c>
      <c r="F7" s="45">
        <v>8</v>
      </c>
      <c r="G7" s="137" t="s">
        <v>92</v>
      </c>
      <c r="I7" s="167" t="str">
        <f>"["&amp; B7&amp;", "&amp;C10&amp;"["</f>
        <v>[78, 108[</v>
      </c>
      <c r="J7" s="169">
        <f>SUM(F7:F10)</f>
        <v>30</v>
      </c>
      <c r="K7" s="169" t="s">
        <v>102</v>
      </c>
      <c r="L7" s="164">
        <v>4</v>
      </c>
    </row>
    <row r="8" spans="2:12" x14ac:dyDescent="0.25">
      <c r="B8" s="123">
        <f t="shared" si="2"/>
        <v>86</v>
      </c>
      <c r="C8" s="125">
        <f t="shared" si="0"/>
        <v>93</v>
      </c>
      <c r="D8" s="46"/>
      <c r="E8" s="42" t="str">
        <f t="shared" si="1"/>
        <v>[86, 93[</v>
      </c>
      <c r="F8" s="46">
        <v>7</v>
      </c>
      <c r="G8" s="43" t="s">
        <v>93</v>
      </c>
      <c r="I8" s="171"/>
      <c r="J8" s="172"/>
      <c r="K8" s="172"/>
      <c r="L8" s="173"/>
    </row>
    <row r="9" spans="2:12" x14ac:dyDescent="0.25">
      <c r="B9" s="123">
        <f t="shared" si="2"/>
        <v>93</v>
      </c>
      <c r="C9" s="125">
        <f t="shared" si="0"/>
        <v>100</v>
      </c>
      <c r="D9" s="46"/>
      <c r="E9" s="42" t="str">
        <f t="shared" si="1"/>
        <v>[93, 100[</v>
      </c>
      <c r="F9" s="46">
        <v>7</v>
      </c>
      <c r="G9" s="43" t="s">
        <v>94</v>
      </c>
      <c r="I9" s="171"/>
      <c r="J9" s="172"/>
      <c r="K9" s="172"/>
      <c r="L9" s="173"/>
    </row>
    <row r="10" spans="2:12" x14ac:dyDescent="0.25">
      <c r="B10" s="123">
        <f t="shared" si="2"/>
        <v>100</v>
      </c>
      <c r="C10" s="125">
        <f t="shared" si="0"/>
        <v>108</v>
      </c>
      <c r="D10" s="46"/>
      <c r="E10" s="138" t="str">
        <f t="shared" si="1"/>
        <v>[100, 108[</v>
      </c>
      <c r="F10" s="47">
        <v>8</v>
      </c>
      <c r="G10" s="139" t="s">
        <v>107</v>
      </c>
      <c r="I10" s="168"/>
      <c r="J10" s="170"/>
      <c r="K10" s="170"/>
      <c r="L10" s="165"/>
    </row>
    <row r="11" spans="2:12" x14ac:dyDescent="0.25">
      <c r="B11" s="133">
        <f>C9</f>
        <v>100</v>
      </c>
      <c r="C11" s="134">
        <f t="shared" si="0"/>
        <v>112</v>
      </c>
      <c r="D11" s="46"/>
      <c r="E11" s="49" t="str">
        <f t="shared" si="1"/>
        <v>[100, 112[</v>
      </c>
      <c r="F11" s="45">
        <v>12</v>
      </c>
      <c r="G11" s="137" t="s">
        <v>95</v>
      </c>
      <c r="I11" s="167" t="str">
        <f>"["&amp; B11&amp;", "&amp;C12&amp;"["</f>
        <v>[100, 130[</v>
      </c>
      <c r="J11" s="169">
        <f>SUM(F11:F12)</f>
        <v>30</v>
      </c>
      <c r="K11" s="169" t="s">
        <v>103</v>
      </c>
      <c r="L11" s="164">
        <v>2</v>
      </c>
    </row>
    <row r="12" spans="2:12" x14ac:dyDescent="0.25">
      <c r="B12" s="135">
        <f>C11</f>
        <v>112</v>
      </c>
      <c r="C12" s="136">
        <f t="shared" si="0"/>
        <v>130</v>
      </c>
      <c r="D12" s="46"/>
      <c r="E12" s="138" t="str">
        <f t="shared" si="1"/>
        <v>[112, 130[</v>
      </c>
      <c r="F12" s="47">
        <v>18</v>
      </c>
      <c r="G12" s="139" t="s">
        <v>96</v>
      </c>
      <c r="I12" s="168"/>
      <c r="J12" s="170"/>
      <c r="K12" s="170"/>
      <c r="L12" s="165"/>
    </row>
    <row r="13" spans="2:12" ht="13" thickBot="1" x14ac:dyDescent="0.3">
      <c r="B13" s="124">
        <f t="shared" si="2"/>
        <v>130</v>
      </c>
      <c r="C13" s="126">
        <f t="shared" si="0"/>
        <v>160</v>
      </c>
      <c r="D13" s="46"/>
      <c r="E13" s="44" t="str">
        <f t="shared" si="1"/>
        <v>[130, 160[</v>
      </c>
      <c r="F13" s="50">
        <v>30</v>
      </c>
      <c r="G13" s="21" t="s">
        <v>24</v>
      </c>
      <c r="I13" s="143" t="str">
        <f>"["&amp; B13&amp;", "&amp;C13&amp;"["</f>
        <v>[130, 160[</v>
      </c>
      <c r="J13" s="51">
        <f>F13</f>
        <v>30</v>
      </c>
      <c r="K13" s="51" t="s">
        <v>24</v>
      </c>
      <c r="L13" s="52">
        <v>1</v>
      </c>
    </row>
    <row r="14" spans="2:12" x14ac:dyDescent="0.25">
      <c r="I14" s="48"/>
      <c r="J14" s="48"/>
      <c r="K14" s="48"/>
      <c r="L14" s="48"/>
    </row>
    <row r="15" spans="2:12" x14ac:dyDescent="0.25">
      <c r="I15" s="48"/>
      <c r="J15" s="48"/>
      <c r="K15" s="48"/>
      <c r="L15" s="48"/>
    </row>
    <row r="16" spans="2:12" x14ac:dyDescent="0.25">
      <c r="I16" s="48"/>
      <c r="J16" s="48"/>
      <c r="K16" s="48"/>
      <c r="L16" s="48"/>
    </row>
  </sheetData>
  <mergeCells count="15">
    <mergeCell ref="L11:L12"/>
    <mergeCell ref="E2:G2"/>
    <mergeCell ref="B2:C2"/>
    <mergeCell ref="I2:L2"/>
    <mergeCell ref="I5:I6"/>
    <mergeCell ref="J5:J6"/>
    <mergeCell ref="K5:K6"/>
    <mergeCell ref="L5:L6"/>
    <mergeCell ref="I7:I10"/>
    <mergeCell ref="J7:J10"/>
    <mergeCell ref="K7:K10"/>
    <mergeCell ref="L7:L10"/>
    <mergeCell ref="I11:I12"/>
    <mergeCell ref="J11:J12"/>
    <mergeCell ref="K11:K12"/>
  </mergeCells>
  <pageMargins left="0.7" right="0.7" top="0.75" bottom="0.75" header="0.3" footer="0.3"/>
  <ignoredErrors>
    <ignoredError sqref="J5:J13" formulaRange="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AB247"/>
  <sheetViews>
    <sheetView showGridLines="0" tabSelected="1" workbookViewId="0">
      <pane ySplit="5" topLeftCell="A166" activePane="bottomLeft" state="frozen"/>
      <selection pane="bottomLeft" activeCell="M170" sqref="M170"/>
    </sheetView>
  </sheetViews>
  <sheetFormatPr defaultColWidth="9.1796875" defaultRowHeight="14.5" x14ac:dyDescent="0.35"/>
  <cols>
    <col min="1" max="1" width="4.1796875" style="58" customWidth="1"/>
    <col min="2" max="2" width="3.1796875" style="58" customWidth="1"/>
    <col min="3" max="3" width="16.1796875" style="53" customWidth="1"/>
    <col min="4" max="4" width="8.1796875" style="53" customWidth="1"/>
    <col min="5" max="12" width="8.1796875" style="55" customWidth="1"/>
    <col min="13" max="13" width="10" style="55" customWidth="1"/>
    <col min="14" max="17" width="8.1796875" style="55" customWidth="1"/>
    <col min="18" max="22" width="8.1796875" style="56" customWidth="1"/>
    <col min="23" max="23" width="12.54296875" style="57" customWidth="1"/>
    <col min="24" max="25" width="8.1796875" style="56" customWidth="1"/>
    <col min="26" max="26" width="9.1796875" style="56"/>
    <col min="27" max="27" width="7" style="56" bestFit="1" customWidth="1"/>
    <col min="28" max="28" width="7.81640625" style="56" customWidth="1"/>
    <col min="29" max="16384" width="9.1796875" style="58"/>
  </cols>
  <sheetData>
    <row r="1" spans="2:28" ht="15.75" customHeight="1" x14ac:dyDescent="0.35">
      <c r="B1" s="175"/>
      <c r="C1" s="175"/>
      <c r="E1" s="54"/>
      <c r="F1" s="54"/>
      <c r="G1" s="54"/>
      <c r="H1" s="54"/>
      <c r="I1" s="54"/>
    </row>
    <row r="2" spans="2:28" ht="30.75" customHeight="1" x14ac:dyDescent="0.35">
      <c r="B2" s="175"/>
      <c r="C2" s="175"/>
      <c r="D2" s="176" t="s">
        <v>113</v>
      </c>
      <c r="E2" s="176"/>
      <c r="F2" s="176"/>
      <c r="G2" s="176"/>
      <c r="H2" s="176"/>
      <c r="I2" s="176"/>
      <c r="J2" s="176"/>
    </row>
    <row r="3" spans="2:28" ht="22.5" customHeight="1" x14ac:dyDescent="0.35">
      <c r="C3" s="59"/>
      <c r="D3" s="59" t="s">
        <v>27</v>
      </c>
    </row>
    <row r="4" spans="2:28" ht="67.5" customHeight="1" thickBot="1" x14ac:dyDescent="0.4">
      <c r="D4" s="177" t="s">
        <v>28</v>
      </c>
      <c r="E4" s="177"/>
      <c r="F4" s="177"/>
      <c r="G4" s="177"/>
      <c r="H4" s="177"/>
      <c r="I4" s="177"/>
      <c r="J4" s="177"/>
      <c r="K4" s="56"/>
      <c r="L4" s="56"/>
      <c r="M4" s="56"/>
      <c r="N4" s="56"/>
      <c r="O4" s="56"/>
      <c r="P4" s="56"/>
      <c r="Q4" s="56"/>
      <c r="V4" s="60" t="s">
        <v>29</v>
      </c>
      <c r="W4" s="61"/>
      <c r="X4" s="58"/>
      <c r="Y4" s="58"/>
      <c r="Z4" s="58"/>
      <c r="AA4" s="58"/>
      <c r="AB4" s="58"/>
    </row>
    <row r="5" spans="2:28" ht="30" customHeight="1" thickBot="1" x14ac:dyDescent="0.4">
      <c r="B5" s="178" t="s">
        <v>30</v>
      </c>
      <c r="C5" s="179"/>
      <c r="D5" s="62" t="s">
        <v>31</v>
      </c>
      <c r="E5" s="62" t="s">
        <v>32</v>
      </c>
      <c r="F5" s="62" t="s">
        <v>33</v>
      </c>
      <c r="G5" s="62" t="s">
        <v>34</v>
      </c>
      <c r="H5" s="62" t="s">
        <v>35</v>
      </c>
      <c r="I5" s="62" t="s">
        <v>36</v>
      </c>
      <c r="J5" s="62" t="s">
        <v>37</v>
      </c>
      <c r="K5" s="62" t="s">
        <v>38</v>
      </c>
      <c r="L5" s="62" t="s">
        <v>39</v>
      </c>
      <c r="M5" s="62" t="s">
        <v>40</v>
      </c>
      <c r="N5" s="62" t="s">
        <v>41</v>
      </c>
      <c r="O5" s="62" t="s">
        <v>42</v>
      </c>
      <c r="P5" s="62" t="s">
        <v>43</v>
      </c>
      <c r="Q5" s="62" t="s">
        <v>44</v>
      </c>
      <c r="R5" s="62" t="s">
        <v>45</v>
      </c>
      <c r="S5" s="62" t="s">
        <v>46</v>
      </c>
      <c r="T5" s="62" t="s">
        <v>47</v>
      </c>
      <c r="U5" s="62" t="s">
        <v>48</v>
      </c>
      <c r="V5" s="62" t="s">
        <v>49</v>
      </c>
      <c r="W5" s="63" t="s">
        <v>50</v>
      </c>
      <c r="X5" s="58"/>
      <c r="Y5" s="58"/>
      <c r="Z5" s="58"/>
      <c r="AA5" s="58"/>
      <c r="AB5" s="58"/>
    </row>
    <row r="6" spans="2:28" ht="14.25" customHeight="1" x14ac:dyDescent="0.35">
      <c r="C6" s="64">
        <v>1</v>
      </c>
      <c r="D6" s="65">
        <v>4600</v>
      </c>
      <c r="E6" s="65">
        <v>4620</v>
      </c>
      <c r="F6" s="65">
        <v>4780</v>
      </c>
      <c r="G6" s="65">
        <v>4860</v>
      </c>
      <c r="H6" s="65">
        <v>4820</v>
      </c>
      <c r="I6" s="65">
        <v>4980</v>
      </c>
      <c r="J6" s="65">
        <v>5200</v>
      </c>
      <c r="K6" s="65">
        <v>5410</v>
      </c>
      <c r="L6" s="65">
        <v>5600</v>
      </c>
      <c r="M6" s="65"/>
      <c r="N6" s="65">
        <v>6800</v>
      </c>
      <c r="O6" s="65">
        <v>6730</v>
      </c>
      <c r="P6" s="65">
        <v>7740</v>
      </c>
      <c r="Q6" s="65">
        <v>8370</v>
      </c>
      <c r="R6" s="65">
        <v>9710</v>
      </c>
      <c r="S6" s="65">
        <v>10300</v>
      </c>
      <c r="T6" s="65">
        <v>10800</v>
      </c>
      <c r="U6" s="65">
        <v>11200</v>
      </c>
      <c r="V6" s="65">
        <v>11700</v>
      </c>
      <c r="W6" s="66"/>
      <c r="X6" s="58"/>
      <c r="Y6" s="58"/>
      <c r="Z6" s="58"/>
      <c r="AA6" s="58"/>
      <c r="AB6" s="58"/>
    </row>
    <row r="7" spans="2:28" x14ac:dyDescent="0.35">
      <c r="C7" s="64">
        <v>2</v>
      </c>
      <c r="D7" s="65">
        <v>4840</v>
      </c>
      <c r="E7" s="65">
        <v>4840</v>
      </c>
      <c r="F7" s="65">
        <v>5040</v>
      </c>
      <c r="G7" s="65">
        <v>5120</v>
      </c>
      <c r="H7" s="65">
        <v>5070</v>
      </c>
      <c r="I7" s="65">
        <v>5250</v>
      </c>
      <c r="J7" s="65">
        <v>5510</v>
      </c>
      <c r="K7" s="65">
        <v>5720</v>
      </c>
      <c r="L7" s="65">
        <v>5930</v>
      </c>
      <c r="M7" s="65"/>
      <c r="N7" s="65">
        <v>7090</v>
      </c>
      <c r="O7" s="65">
        <v>7000</v>
      </c>
      <c r="P7" s="65">
        <v>8000</v>
      </c>
      <c r="Q7" s="65">
        <v>8670</v>
      </c>
      <c r="R7" s="65">
        <v>10000</v>
      </c>
      <c r="S7" s="65">
        <v>10600</v>
      </c>
      <c r="T7" s="65">
        <v>11100</v>
      </c>
      <c r="U7" s="65">
        <v>11500</v>
      </c>
      <c r="V7" s="65">
        <v>12000</v>
      </c>
      <c r="W7" s="66">
        <f>V7-V6</f>
        <v>300</v>
      </c>
      <c r="X7" s="58"/>
      <c r="Y7" s="58"/>
      <c r="Z7" s="58"/>
      <c r="AA7" s="58"/>
      <c r="AB7" s="58"/>
    </row>
    <row r="8" spans="2:28" x14ac:dyDescent="0.35">
      <c r="C8" s="64">
        <v>3</v>
      </c>
      <c r="D8" s="65">
        <v>5080</v>
      </c>
      <c r="E8" s="65">
        <v>5060</v>
      </c>
      <c r="F8" s="65">
        <v>5320</v>
      </c>
      <c r="G8" s="65">
        <v>5410</v>
      </c>
      <c r="H8" s="65">
        <v>5330</v>
      </c>
      <c r="I8" s="65">
        <v>5520</v>
      </c>
      <c r="J8" s="65">
        <v>5800</v>
      </c>
      <c r="K8" s="65">
        <v>6030</v>
      </c>
      <c r="L8" s="65">
        <v>6250</v>
      </c>
      <c r="M8" s="65"/>
      <c r="N8" s="65">
        <v>7380</v>
      </c>
      <c r="O8" s="65">
        <v>7260</v>
      </c>
      <c r="P8" s="65">
        <v>8280</v>
      </c>
      <c r="Q8" s="65">
        <v>8970</v>
      </c>
      <c r="R8" s="65">
        <v>10300</v>
      </c>
      <c r="S8" s="65">
        <v>10800</v>
      </c>
      <c r="T8" s="65">
        <v>11300</v>
      </c>
      <c r="U8" s="65">
        <v>11700</v>
      </c>
      <c r="V8" s="65">
        <v>12300</v>
      </c>
      <c r="W8" s="66">
        <f t="shared" ref="W8:W71" si="0">V8-V7</f>
        <v>300</v>
      </c>
      <c r="X8" s="58"/>
      <c r="Y8" s="58"/>
      <c r="Z8" s="58"/>
      <c r="AA8" s="58"/>
      <c r="AB8" s="58"/>
    </row>
    <row r="9" spans="2:28" x14ac:dyDescent="0.35">
      <c r="C9" s="64">
        <v>4</v>
      </c>
      <c r="D9" s="65">
        <v>5360</v>
      </c>
      <c r="E9" s="65">
        <v>5280</v>
      </c>
      <c r="F9" s="65">
        <v>5590</v>
      </c>
      <c r="G9" s="65">
        <v>5680</v>
      </c>
      <c r="H9" s="65">
        <v>5590</v>
      </c>
      <c r="I9" s="65">
        <v>5800</v>
      </c>
      <c r="J9" s="65">
        <v>6070</v>
      </c>
      <c r="K9" s="65">
        <v>6310</v>
      </c>
      <c r="L9" s="65">
        <v>6560</v>
      </c>
      <c r="M9" s="65"/>
      <c r="N9" s="65">
        <v>7680</v>
      </c>
      <c r="O9" s="65">
        <v>7550</v>
      </c>
      <c r="P9" s="65">
        <v>8560</v>
      </c>
      <c r="Q9" s="65">
        <v>9260</v>
      </c>
      <c r="R9" s="65">
        <v>10600</v>
      </c>
      <c r="S9" s="65">
        <v>11000</v>
      </c>
      <c r="T9" s="65">
        <v>11500</v>
      </c>
      <c r="U9" s="65">
        <v>11900</v>
      </c>
      <c r="V9" s="65">
        <v>12500</v>
      </c>
      <c r="W9" s="66">
        <f t="shared" si="0"/>
        <v>200</v>
      </c>
      <c r="X9" s="58"/>
      <c r="Y9" s="58"/>
      <c r="Z9" s="58"/>
      <c r="AA9" s="58"/>
      <c r="AB9" s="58"/>
    </row>
    <row r="10" spans="2:28" x14ac:dyDescent="0.35">
      <c r="C10" s="64">
        <v>5</v>
      </c>
      <c r="D10" s="65">
        <v>5630</v>
      </c>
      <c r="E10" s="65">
        <v>5520</v>
      </c>
      <c r="F10" s="65">
        <v>5850</v>
      </c>
      <c r="G10" s="65">
        <v>5960</v>
      </c>
      <c r="H10" s="65">
        <v>5850</v>
      </c>
      <c r="I10" s="65">
        <v>6070</v>
      </c>
      <c r="J10" s="65">
        <v>6350</v>
      </c>
      <c r="K10" s="65">
        <v>6600</v>
      </c>
      <c r="L10" s="65">
        <v>6870</v>
      </c>
      <c r="M10" s="65"/>
      <c r="N10" s="65">
        <v>7970</v>
      </c>
      <c r="O10" s="65">
        <v>7830</v>
      </c>
      <c r="P10" s="65">
        <v>8840</v>
      </c>
      <c r="Q10" s="65">
        <v>9570</v>
      </c>
      <c r="R10" s="65">
        <v>10800</v>
      </c>
      <c r="S10" s="65">
        <v>11200</v>
      </c>
      <c r="T10" s="65">
        <v>11700</v>
      </c>
      <c r="U10" s="65">
        <v>12200</v>
      </c>
      <c r="V10" s="65">
        <v>12800</v>
      </c>
      <c r="W10" s="66">
        <f t="shared" si="0"/>
        <v>300</v>
      </c>
      <c r="X10" s="58"/>
      <c r="Y10" s="58"/>
      <c r="Z10" s="58"/>
      <c r="AA10" s="58"/>
      <c r="AB10" s="58"/>
    </row>
    <row r="11" spans="2:28" x14ac:dyDescent="0.35">
      <c r="C11" s="64">
        <v>6</v>
      </c>
      <c r="D11" s="65">
        <v>5860</v>
      </c>
      <c r="E11" s="65">
        <v>5740</v>
      </c>
      <c r="F11" s="65">
        <v>6090</v>
      </c>
      <c r="G11" s="65">
        <v>6210</v>
      </c>
      <c r="H11" s="65">
        <v>6100</v>
      </c>
      <c r="I11" s="65">
        <v>6340</v>
      </c>
      <c r="J11" s="65">
        <v>6630</v>
      </c>
      <c r="K11" s="65">
        <v>6890</v>
      </c>
      <c r="L11" s="65">
        <v>7180</v>
      </c>
      <c r="M11" s="65"/>
      <c r="N11" s="65">
        <v>8270</v>
      </c>
      <c r="O11" s="65">
        <v>8120</v>
      </c>
      <c r="P11" s="65">
        <v>9150</v>
      </c>
      <c r="Q11" s="65">
        <v>9880</v>
      </c>
      <c r="R11" s="65">
        <v>11000</v>
      </c>
      <c r="S11" s="65">
        <v>11400</v>
      </c>
      <c r="T11" s="65">
        <v>11900</v>
      </c>
      <c r="U11" s="65">
        <v>12400</v>
      </c>
      <c r="V11" s="65">
        <v>13000</v>
      </c>
      <c r="W11" s="66">
        <f t="shared" si="0"/>
        <v>200</v>
      </c>
      <c r="X11" s="58"/>
      <c r="Y11" s="58"/>
      <c r="Z11" s="58"/>
      <c r="AA11" s="58"/>
      <c r="AB11" s="58"/>
    </row>
    <row r="12" spans="2:28" x14ac:dyDescent="0.35">
      <c r="C12" s="64">
        <v>7</v>
      </c>
      <c r="D12" s="65">
        <v>6040</v>
      </c>
      <c r="E12" s="65">
        <v>5940</v>
      </c>
      <c r="F12" s="65">
        <v>6320</v>
      </c>
      <c r="G12" s="65">
        <v>6420</v>
      </c>
      <c r="H12" s="65">
        <v>6360</v>
      </c>
      <c r="I12" s="65">
        <v>6620</v>
      </c>
      <c r="J12" s="65">
        <v>6910</v>
      </c>
      <c r="K12" s="65">
        <v>7170</v>
      </c>
      <c r="L12" s="65">
        <v>7480</v>
      </c>
      <c r="M12" s="65"/>
      <c r="N12" s="65">
        <v>8580</v>
      </c>
      <c r="O12" s="65">
        <v>8420</v>
      </c>
      <c r="P12" s="65">
        <v>9450</v>
      </c>
      <c r="Q12" s="65">
        <v>10200</v>
      </c>
      <c r="R12" s="65">
        <v>11200</v>
      </c>
      <c r="S12" s="65">
        <v>11600</v>
      </c>
      <c r="T12" s="65">
        <v>12100</v>
      </c>
      <c r="U12" s="65">
        <v>12600</v>
      </c>
      <c r="V12" s="65">
        <v>13200</v>
      </c>
      <c r="W12" s="66">
        <f t="shared" si="0"/>
        <v>200</v>
      </c>
      <c r="X12" s="58"/>
      <c r="Y12" s="58"/>
      <c r="Z12" s="58"/>
      <c r="AA12" s="58"/>
      <c r="AB12" s="58"/>
    </row>
    <row r="13" spans="2:28" x14ac:dyDescent="0.35">
      <c r="C13" s="64">
        <v>8</v>
      </c>
      <c r="D13" s="65">
        <v>6220</v>
      </c>
      <c r="E13" s="65">
        <v>6130</v>
      </c>
      <c r="F13" s="65">
        <v>6490</v>
      </c>
      <c r="G13" s="65">
        <v>6600</v>
      </c>
      <c r="H13" s="65">
        <v>6620</v>
      </c>
      <c r="I13" s="65">
        <v>6870</v>
      </c>
      <c r="J13" s="65">
        <v>7170</v>
      </c>
      <c r="K13" s="65">
        <v>7430</v>
      </c>
      <c r="L13" s="65">
        <v>7750</v>
      </c>
      <c r="M13" s="65"/>
      <c r="N13" s="65">
        <v>8890</v>
      </c>
      <c r="O13" s="65">
        <v>8720</v>
      </c>
      <c r="P13" s="65">
        <v>9740</v>
      </c>
      <c r="Q13" s="65">
        <v>10500</v>
      </c>
      <c r="R13" s="65">
        <v>11400</v>
      </c>
      <c r="S13" s="65">
        <v>11800</v>
      </c>
      <c r="T13" s="65">
        <v>12300</v>
      </c>
      <c r="U13" s="65">
        <v>12800</v>
      </c>
      <c r="V13" s="65">
        <v>13500</v>
      </c>
      <c r="W13" s="66">
        <f t="shared" si="0"/>
        <v>300</v>
      </c>
      <c r="X13" s="58"/>
      <c r="Y13" s="58"/>
      <c r="Z13" s="58"/>
      <c r="AA13" s="58"/>
      <c r="AB13" s="58"/>
    </row>
    <row r="14" spans="2:28" x14ac:dyDescent="0.35">
      <c r="C14" s="64">
        <v>9</v>
      </c>
      <c r="D14" s="65">
        <v>6390</v>
      </c>
      <c r="E14" s="65">
        <v>6310</v>
      </c>
      <c r="F14" s="65">
        <v>6680</v>
      </c>
      <c r="G14" s="65">
        <v>6780</v>
      </c>
      <c r="H14" s="65">
        <v>6820</v>
      </c>
      <c r="I14" s="65">
        <v>7080</v>
      </c>
      <c r="J14" s="65">
        <v>7400</v>
      </c>
      <c r="K14" s="65">
        <v>7650</v>
      </c>
      <c r="L14" s="65">
        <v>7990</v>
      </c>
      <c r="M14" s="65"/>
      <c r="N14" s="65">
        <v>9200</v>
      </c>
      <c r="O14" s="65">
        <v>9040</v>
      </c>
      <c r="P14" s="65">
        <v>10000</v>
      </c>
      <c r="Q14" s="65">
        <v>10700</v>
      </c>
      <c r="R14" s="65">
        <v>11600</v>
      </c>
      <c r="S14" s="65">
        <v>12000</v>
      </c>
      <c r="T14" s="65">
        <v>12500</v>
      </c>
      <c r="U14" s="65">
        <v>13100</v>
      </c>
      <c r="V14" s="65">
        <v>13700</v>
      </c>
      <c r="W14" s="66">
        <f t="shared" si="0"/>
        <v>200</v>
      </c>
      <c r="X14" s="58"/>
      <c r="Y14" s="58"/>
      <c r="Z14" s="58"/>
      <c r="AA14" s="58"/>
      <c r="AB14" s="58"/>
    </row>
    <row r="15" spans="2:28" x14ac:dyDescent="0.35">
      <c r="C15" s="64">
        <v>10</v>
      </c>
      <c r="D15" s="65">
        <v>6570</v>
      </c>
      <c r="E15" s="65">
        <v>6480</v>
      </c>
      <c r="F15" s="65">
        <v>6860</v>
      </c>
      <c r="G15" s="65">
        <v>6970</v>
      </c>
      <c r="H15" s="65">
        <v>7000</v>
      </c>
      <c r="I15" s="65">
        <v>7260</v>
      </c>
      <c r="J15" s="65">
        <v>7610</v>
      </c>
      <c r="K15" s="65">
        <v>7880</v>
      </c>
      <c r="L15" s="65">
        <v>8240</v>
      </c>
      <c r="M15" s="65"/>
      <c r="N15" s="65">
        <v>9510</v>
      </c>
      <c r="O15" s="65">
        <v>9350</v>
      </c>
      <c r="P15" s="65">
        <v>10200</v>
      </c>
      <c r="Q15" s="65">
        <v>10900</v>
      </c>
      <c r="R15" s="65">
        <v>11800</v>
      </c>
      <c r="S15" s="65">
        <v>12200</v>
      </c>
      <c r="T15" s="65">
        <v>12800</v>
      </c>
      <c r="U15" s="65">
        <v>13300</v>
      </c>
      <c r="V15" s="65">
        <v>13900</v>
      </c>
      <c r="W15" s="66">
        <f t="shared" si="0"/>
        <v>200</v>
      </c>
      <c r="X15" s="58"/>
      <c r="Y15" s="58"/>
      <c r="Z15" s="58"/>
      <c r="AA15" s="58"/>
      <c r="AB15" s="58"/>
    </row>
    <row r="16" spans="2:28" x14ac:dyDescent="0.35">
      <c r="C16" s="64">
        <v>11</v>
      </c>
      <c r="D16" s="65">
        <v>6720</v>
      </c>
      <c r="E16" s="65">
        <v>6650</v>
      </c>
      <c r="F16" s="65">
        <v>7050</v>
      </c>
      <c r="G16" s="65">
        <v>7180</v>
      </c>
      <c r="H16" s="65">
        <v>7190</v>
      </c>
      <c r="I16" s="65">
        <v>7460</v>
      </c>
      <c r="J16" s="65">
        <v>7810</v>
      </c>
      <c r="K16" s="65">
        <v>8100</v>
      </c>
      <c r="L16" s="65">
        <v>8470</v>
      </c>
      <c r="M16" s="65"/>
      <c r="N16" s="65">
        <v>9750</v>
      </c>
      <c r="O16" s="65">
        <v>9630</v>
      </c>
      <c r="P16" s="65">
        <v>10400</v>
      </c>
      <c r="Q16" s="65">
        <v>11100</v>
      </c>
      <c r="R16" s="65">
        <v>12000</v>
      </c>
      <c r="S16" s="65">
        <v>12400</v>
      </c>
      <c r="T16" s="65">
        <v>13000</v>
      </c>
      <c r="U16" s="65">
        <v>13500</v>
      </c>
      <c r="V16" s="65">
        <v>14100</v>
      </c>
      <c r="W16" s="66">
        <f t="shared" si="0"/>
        <v>200</v>
      </c>
      <c r="X16" s="58"/>
      <c r="Y16" s="58"/>
      <c r="Z16" s="58"/>
      <c r="AA16" s="58"/>
      <c r="AB16" s="58"/>
    </row>
    <row r="17" spans="3:28" x14ac:dyDescent="0.35">
      <c r="C17" s="64">
        <v>12</v>
      </c>
      <c r="D17" s="65">
        <v>6890</v>
      </c>
      <c r="E17" s="65">
        <v>6820</v>
      </c>
      <c r="F17" s="65">
        <v>7250</v>
      </c>
      <c r="G17" s="65">
        <v>7370</v>
      </c>
      <c r="H17" s="65">
        <v>7380</v>
      </c>
      <c r="I17" s="65">
        <v>7650</v>
      </c>
      <c r="J17" s="65">
        <v>8020</v>
      </c>
      <c r="K17" s="65">
        <v>8310</v>
      </c>
      <c r="L17" s="65">
        <v>8700</v>
      </c>
      <c r="M17" s="65"/>
      <c r="N17" s="65">
        <v>9970</v>
      </c>
      <c r="O17" s="65">
        <v>9840</v>
      </c>
      <c r="P17" s="65">
        <v>10700</v>
      </c>
      <c r="Q17" s="65">
        <v>11300</v>
      </c>
      <c r="R17" s="65">
        <v>12200</v>
      </c>
      <c r="S17" s="65">
        <v>12600</v>
      </c>
      <c r="T17" s="65">
        <v>13200</v>
      </c>
      <c r="U17" s="65">
        <v>13700</v>
      </c>
      <c r="V17" s="65">
        <v>14400</v>
      </c>
      <c r="W17" s="66">
        <f t="shared" si="0"/>
        <v>300</v>
      </c>
      <c r="X17" s="58"/>
      <c r="Y17" s="58"/>
      <c r="Z17" s="58"/>
      <c r="AA17" s="58"/>
      <c r="AB17" s="58"/>
    </row>
    <row r="18" spans="3:28" x14ac:dyDescent="0.35">
      <c r="C18" s="64">
        <v>13</v>
      </c>
      <c r="D18" s="65">
        <v>7090</v>
      </c>
      <c r="E18" s="65">
        <v>7010</v>
      </c>
      <c r="F18" s="65">
        <v>7470</v>
      </c>
      <c r="G18" s="65">
        <v>7580</v>
      </c>
      <c r="H18" s="65">
        <v>7580</v>
      </c>
      <c r="I18" s="65">
        <v>7830</v>
      </c>
      <c r="J18" s="65">
        <v>8220</v>
      </c>
      <c r="K18" s="65">
        <v>8510</v>
      </c>
      <c r="L18" s="65">
        <v>8940</v>
      </c>
      <c r="M18" s="65"/>
      <c r="N18" s="65">
        <v>10200</v>
      </c>
      <c r="O18" s="65">
        <v>10000</v>
      </c>
      <c r="P18" s="65">
        <v>10900</v>
      </c>
      <c r="Q18" s="65">
        <v>11600</v>
      </c>
      <c r="R18" s="65">
        <v>12400</v>
      </c>
      <c r="S18" s="65">
        <v>12800</v>
      </c>
      <c r="T18" s="65">
        <v>13400</v>
      </c>
      <c r="U18" s="65">
        <v>13900</v>
      </c>
      <c r="V18" s="65">
        <v>14600</v>
      </c>
      <c r="W18" s="66">
        <f t="shared" si="0"/>
        <v>200</v>
      </c>
      <c r="X18" s="58"/>
      <c r="Y18" s="58"/>
      <c r="Z18" s="58"/>
      <c r="AA18" s="58"/>
      <c r="AB18" s="58"/>
    </row>
    <row r="19" spans="3:28" x14ac:dyDescent="0.35">
      <c r="C19" s="64">
        <v>14</v>
      </c>
      <c r="D19" s="65">
        <v>7260</v>
      </c>
      <c r="E19" s="65">
        <v>7180</v>
      </c>
      <c r="F19" s="65">
        <v>7670</v>
      </c>
      <c r="G19" s="65">
        <v>7780</v>
      </c>
      <c r="H19" s="65">
        <v>7780</v>
      </c>
      <c r="I19" s="65">
        <v>8030</v>
      </c>
      <c r="J19" s="65">
        <v>8430</v>
      </c>
      <c r="K19" s="65">
        <v>8720</v>
      </c>
      <c r="L19" s="65">
        <v>9160</v>
      </c>
      <c r="M19" s="65"/>
      <c r="N19" s="65">
        <v>10400</v>
      </c>
      <c r="O19" s="65">
        <v>10300</v>
      </c>
      <c r="P19" s="65">
        <v>11100</v>
      </c>
      <c r="Q19" s="65">
        <v>11800</v>
      </c>
      <c r="R19" s="65">
        <v>12600</v>
      </c>
      <c r="S19" s="65">
        <v>13100</v>
      </c>
      <c r="T19" s="65">
        <v>13600</v>
      </c>
      <c r="U19" s="65">
        <v>14200</v>
      </c>
      <c r="V19" s="65">
        <v>14800</v>
      </c>
      <c r="W19" s="66">
        <f t="shared" si="0"/>
        <v>200</v>
      </c>
      <c r="X19" s="58"/>
      <c r="Y19" s="58"/>
      <c r="Z19" s="58"/>
      <c r="AA19" s="58"/>
      <c r="AB19" s="58"/>
    </row>
    <row r="20" spans="3:28" x14ac:dyDescent="0.35">
      <c r="C20" s="64">
        <v>15</v>
      </c>
      <c r="D20" s="65">
        <v>7430</v>
      </c>
      <c r="E20" s="65">
        <v>7370</v>
      </c>
      <c r="F20" s="65">
        <v>7870</v>
      </c>
      <c r="G20" s="65">
        <v>7990</v>
      </c>
      <c r="H20" s="65">
        <v>7980</v>
      </c>
      <c r="I20" s="65">
        <v>8220</v>
      </c>
      <c r="J20" s="65">
        <v>8630</v>
      </c>
      <c r="K20" s="65">
        <v>8940</v>
      </c>
      <c r="L20" s="65">
        <v>9390</v>
      </c>
      <c r="M20" s="65"/>
      <c r="N20" s="65">
        <v>10600</v>
      </c>
      <c r="O20" s="65">
        <v>10500</v>
      </c>
      <c r="P20" s="65">
        <v>11300</v>
      </c>
      <c r="Q20" s="65">
        <v>12000</v>
      </c>
      <c r="R20" s="65">
        <v>12800</v>
      </c>
      <c r="S20" s="65">
        <v>13300</v>
      </c>
      <c r="T20" s="65">
        <v>13800</v>
      </c>
      <c r="U20" s="65">
        <v>14400</v>
      </c>
      <c r="V20" s="65">
        <v>15100</v>
      </c>
      <c r="W20" s="66">
        <f t="shared" si="0"/>
        <v>300</v>
      </c>
      <c r="X20" s="58"/>
      <c r="Y20" s="58"/>
      <c r="Z20" s="58"/>
      <c r="AA20" s="58"/>
      <c r="AB20" s="58"/>
    </row>
    <row r="21" spans="3:28" x14ac:dyDescent="0.35">
      <c r="C21" s="64">
        <v>16</v>
      </c>
      <c r="D21" s="65">
        <v>7620</v>
      </c>
      <c r="E21" s="65">
        <v>7540</v>
      </c>
      <c r="F21" s="65">
        <v>8070</v>
      </c>
      <c r="G21" s="65">
        <v>8190</v>
      </c>
      <c r="H21" s="65">
        <v>8190</v>
      </c>
      <c r="I21" s="65">
        <v>8430</v>
      </c>
      <c r="J21" s="65">
        <v>8850</v>
      </c>
      <c r="K21" s="65">
        <v>9160</v>
      </c>
      <c r="L21" s="65">
        <v>9630</v>
      </c>
      <c r="M21" s="65"/>
      <c r="N21" s="65">
        <v>10900</v>
      </c>
      <c r="O21" s="65">
        <v>10700</v>
      </c>
      <c r="P21" s="65">
        <v>11500</v>
      </c>
      <c r="Q21" s="65">
        <v>12200</v>
      </c>
      <c r="R21" s="65">
        <v>13000</v>
      </c>
      <c r="S21" s="65">
        <v>13500</v>
      </c>
      <c r="T21" s="65">
        <v>14100</v>
      </c>
      <c r="U21" s="65">
        <v>14600</v>
      </c>
      <c r="V21" s="65">
        <v>15300</v>
      </c>
      <c r="W21" s="66">
        <f t="shared" si="0"/>
        <v>200</v>
      </c>
      <c r="X21" s="58"/>
      <c r="Y21" s="58"/>
      <c r="Z21" s="58"/>
      <c r="AA21" s="58"/>
      <c r="AB21" s="58"/>
    </row>
    <row r="22" spans="3:28" x14ac:dyDescent="0.35">
      <c r="C22" s="64">
        <v>17</v>
      </c>
      <c r="D22" s="65">
        <v>7780</v>
      </c>
      <c r="E22" s="65">
        <v>7720</v>
      </c>
      <c r="F22" s="65">
        <v>8270</v>
      </c>
      <c r="G22" s="65">
        <v>8390</v>
      </c>
      <c r="H22" s="65">
        <v>8400</v>
      </c>
      <c r="I22" s="65">
        <v>8630</v>
      </c>
      <c r="J22" s="65">
        <v>9050</v>
      </c>
      <c r="K22" s="65">
        <v>9390</v>
      </c>
      <c r="L22" s="65">
        <v>9870</v>
      </c>
      <c r="M22" s="65"/>
      <c r="N22" s="65">
        <v>11100</v>
      </c>
      <c r="O22" s="65">
        <v>10900</v>
      </c>
      <c r="P22" s="65">
        <v>11700</v>
      </c>
      <c r="Q22" s="65">
        <v>12400</v>
      </c>
      <c r="R22" s="65">
        <v>13200</v>
      </c>
      <c r="S22" s="65">
        <v>13700</v>
      </c>
      <c r="T22" s="65">
        <v>14300</v>
      </c>
      <c r="U22" s="65">
        <v>14900</v>
      </c>
      <c r="V22" s="65">
        <v>15500</v>
      </c>
      <c r="W22" s="66">
        <f t="shared" si="0"/>
        <v>200</v>
      </c>
      <c r="X22" s="58"/>
      <c r="Y22" s="58"/>
      <c r="Z22" s="58"/>
      <c r="AA22" s="58"/>
      <c r="AB22" s="58"/>
    </row>
    <row r="23" spans="3:28" x14ac:dyDescent="0.35">
      <c r="C23" s="64">
        <v>18</v>
      </c>
      <c r="D23" s="65">
        <v>7970</v>
      </c>
      <c r="E23" s="65">
        <v>7910</v>
      </c>
      <c r="F23" s="65">
        <v>8480</v>
      </c>
      <c r="G23" s="65">
        <v>8590</v>
      </c>
      <c r="H23" s="65">
        <v>8620</v>
      </c>
      <c r="I23" s="65">
        <v>8830</v>
      </c>
      <c r="J23" s="65">
        <v>9270</v>
      </c>
      <c r="K23" s="65">
        <v>9610</v>
      </c>
      <c r="L23" s="65">
        <v>10100</v>
      </c>
      <c r="M23" s="65"/>
      <c r="N23" s="65">
        <v>11300</v>
      </c>
      <c r="O23" s="65">
        <v>11100</v>
      </c>
      <c r="P23" s="65">
        <v>12000</v>
      </c>
      <c r="Q23" s="65">
        <v>12700</v>
      </c>
      <c r="R23" s="65">
        <v>13400</v>
      </c>
      <c r="S23" s="65">
        <v>13900</v>
      </c>
      <c r="T23" s="65">
        <v>14500</v>
      </c>
      <c r="U23" s="65">
        <v>15100</v>
      </c>
      <c r="V23" s="65">
        <v>15800</v>
      </c>
      <c r="W23" s="66">
        <f t="shared" si="0"/>
        <v>300</v>
      </c>
      <c r="X23" s="58"/>
      <c r="Y23" s="58"/>
      <c r="Z23" s="58"/>
      <c r="AA23" s="58"/>
      <c r="AB23" s="58"/>
    </row>
    <row r="24" spans="3:28" x14ac:dyDescent="0.35">
      <c r="C24" s="64">
        <v>19</v>
      </c>
      <c r="D24" s="65">
        <v>8160</v>
      </c>
      <c r="E24" s="65">
        <v>8100</v>
      </c>
      <c r="F24" s="65">
        <v>8670</v>
      </c>
      <c r="G24" s="65">
        <v>8790</v>
      </c>
      <c r="H24" s="65">
        <v>8820</v>
      </c>
      <c r="I24" s="65">
        <v>9040</v>
      </c>
      <c r="J24" s="65">
        <v>9490</v>
      </c>
      <c r="K24" s="65">
        <v>9830</v>
      </c>
      <c r="L24" s="65">
        <v>10300</v>
      </c>
      <c r="M24" s="65"/>
      <c r="N24" s="65">
        <v>11600</v>
      </c>
      <c r="O24" s="65">
        <v>11400</v>
      </c>
      <c r="P24" s="65">
        <v>12200</v>
      </c>
      <c r="Q24" s="65">
        <v>12900</v>
      </c>
      <c r="R24" s="65">
        <v>13600</v>
      </c>
      <c r="S24" s="65">
        <v>14100</v>
      </c>
      <c r="T24" s="65">
        <v>14700</v>
      </c>
      <c r="U24" s="65">
        <v>15300</v>
      </c>
      <c r="V24" s="65">
        <v>16000</v>
      </c>
      <c r="W24" s="66">
        <f t="shared" si="0"/>
        <v>200</v>
      </c>
      <c r="X24" s="58"/>
      <c r="Y24" s="58"/>
      <c r="Z24" s="58"/>
      <c r="AA24" s="58"/>
      <c r="AB24" s="58"/>
    </row>
    <row r="25" spans="3:28" x14ac:dyDescent="0.35">
      <c r="C25" s="64">
        <v>20</v>
      </c>
      <c r="D25" s="65">
        <v>8340</v>
      </c>
      <c r="E25" s="65">
        <v>8310</v>
      </c>
      <c r="F25" s="65">
        <v>8880</v>
      </c>
      <c r="G25" s="65">
        <v>8990</v>
      </c>
      <c r="H25" s="65">
        <v>9030</v>
      </c>
      <c r="I25" s="65">
        <v>9240</v>
      </c>
      <c r="J25" s="65">
        <v>9700</v>
      </c>
      <c r="K25" s="65">
        <v>10100</v>
      </c>
      <c r="L25" s="65">
        <v>10600</v>
      </c>
      <c r="M25" s="65"/>
      <c r="N25" s="65">
        <v>11800</v>
      </c>
      <c r="O25" s="65">
        <v>11600</v>
      </c>
      <c r="P25" s="65">
        <v>12400</v>
      </c>
      <c r="Q25" s="65">
        <v>13100</v>
      </c>
      <c r="R25" s="65">
        <v>13900</v>
      </c>
      <c r="S25" s="65">
        <v>14400</v>
      </c>
      <c r="T25" s="65">
        <v>15000</v>
      </c>
      <c r="U25" s="65">
        <v>15500</v>
      </c>
      <c r="V25" s="65">
        <v>16200</v>
      </c>
      <c r="W25" s="66">
        <f t="shared" si="0"/>
        <v>200</v>
      </c>
      <c r="X25" s="58"/>
      <c r="Y25" s="58"/>
      <c r="Z25" s="58"/>
      <c r="AA25" s="58"/>
      <c r="AB25" s="58"/>
    </row>
    <row r="26" spans="3:28" x14ac:dyDescent="0.35">
      <c r="C26" s="64">
        <v>21</v>
      </c>
      <c r="D26" s="65">
        <v>8520</v>
      </c>
      <c r="E26" s="65">
        <v>8510</v>
      </c>
      <c r="F26" s="65">
        <v>9080</v>
      </c>
      <c r="G26" s="65">
        <v>9190</v>
      </c>
      <c r="H26" s="65">
        <v>9240</v>
      </c>
      <c r="I26" s="65">
        <v>9440</v>
      </c>
      <c r="J26" s="65">
        <v>9930</v>
      </c>
      <c r="K26" s="65">
        <v>10300</v>
      </c>
      <c r="L26" s="65">
        <v>10800</v>
      </c>
      <c r="M26" s="65"/>
      <c r="N26" s="65">
        <v>12000</v>
      </c>
      <c r="O26" s="65">
        <v>11800</v>
      </c>
      <c r="P26" s="65">
        <v>12600</v>
      </c>
      <c r="Q26" s="65">
        <v>13300</v>
      </c>
      <c r="R26" s="65">
        <v>14100</v>
      </c>
      <c r="S26" s="65">
        <v>14600</v>
      </c>
      <c r="T26" s="65">
        <v>15200</v>
      </c>
      <c r="U26" s="65">
        <v>15800</v>
      </c>
      <c r="V26" s="65">
        <v>16400</v>
      </c>
      <c r="W26" s="66">
        <f t="shared" si="0"/>
        <v>200</v>
      </c>
      <c r="X26" s="58"/>
      <c r="Y26" s="58"/>
      <c r="Z26" s="58"/>
      <c r="AA26" s="58"/>
      <c r="AB26" s="58"/>
    </row>
    <row r="27" spans="3:28" x14ac:dyDescent="0.35">
      <c r="C27" s="64">
        <v>22</v>
      </c>
      <c r="D27" s="65">
        <v>8710</v>
      </c>
      <c r="E27" s="65">
        <v>8700</v>
      </c>
      <c r="F27" s="65">
        <v>9300</v>
      </c>
      <c r="G27" s="65">
        <v>9410</v>
      </c>
      <c r="H27" s="65">
        <v>9460</v>
      </c>
      <c r="I27" s="65">
        <v>9660</v>
      </c>
      <c r="J27" s="65">
        <v>10100</v>
      </c>
      <c r="K27" s="65">
        <v>10500</v>
      </c>
      <c r="L27" s="65">
        <v>11100</v>
      </c>
      <c r="M27" s="65"/>
      <c r="N27" s="65">
        <v>12200</v>
      </c>
      <c r="O27" s="65">
        <v>12100</v>
      </c>
      <c r="P27" s="65">
        <v>12900</v>
      </c>
      <c r="Q27" s="65">
        <v>13500</v>
      </c>
      <c r="R27" s="65">
        <v>14300</v>
      </c>
      <c r="S27" s="65">
        <v>14800</v>
      </c>
      <c r="T27" s="65">
        <v>15400</v>
      </c>
      <c r="U27" s="65">
        <v>16000</v>
      </c>
      <c r="V27" s="65">
        <v>16700</v>
      </c>
      <c r="W27" s="66">
        <f t="shared" si="0"/>
        <v>300</v>
      </c>
      <c r="X27" s="58"/>
      <c r="Y27" s="58"/>
      <c r="Z27" s="58"/>
      <c r="AA27" s="58"/>
      <c r="AB27" s="58"/>
    </row>
    <row r="28" spans="3:28" x14ac:dyDescent="0.35">
      <c r="C28" s="64">
        <v>23</v>
      </c>
      <c r="D28" s="65">
        <v>8910</v>
      </c>
      <c r="E28" s="65">
        <v>8900</v>
      </c>
      <c r="F28" s="65">
        <v>9520</v>
      </c>
      <c r="G28" s="65">
        <v>9620</v>
      </c>
      <c r="H28" s="65">
        <v>9690</v>
      </c>
      <c r="I28" s="65">
        <v>9870</v>
      </c>
      <c r="J28" s="65">
        <v>10400</v>
      </c>
      <c r="K28" s="65">
        <v>10700</v>
      </c>
      <c r="L28" s="65">
        <v>11300</v>
      </c>
      <c r="M28" s="65"/>
      <c r="N28" s="65">
        <v>12500</v>
      </c>
      <c r="O28" s="65">
        <v>12300</v>
      </c>
      <c r="P28" s="65">
        <v>13100</v>
      </c>
      <c r="Q28" s="65">
        <v>13800</v>
      </c>
      <c r="R28" s="65">
        <v>14500</v>
      </c>
      <c r="S28" s="65">
        <v>15000</v>
      </c>
      <c r="T28" s="65">
        <v>15600</v>
      </c>
      <c r="U28" s="65">
        <v>16200</v>
      </c>
      <c r="V28" s="65">
        <v>16900</v>
      </c>
      <c r="W28" s="66">
        <f t="shared" si="0"/>
        <v>200</v>
      </c>
      <c r="X28" s="58"/>
      <c r="Y28" s="58"/>
      <c r="Z28" s="58"/>
      <c r="AA28" s="58"/>
      <c r="AB28" s="58"/>
    </row>
    <row r="29" spans="3:28" x14ac:dyDescent="0.35">
      <c r="C29" s="64">
        <v>24</v>
      </c>
      <c r="D29" s="65">
        <v>9090</v>
      </c>
      <c r="E29" s="65">
        <v>9100</v>
      </c>
      <c r="F29" s="65">
        <v>9710</v>
      </c>
      <c r="G29" s="65">
        <v>9810</v>
      </c>
      <c r="H29" s="65">
        <v>9910</v>
      </c>
      <c r="I29" s="65">
        <v>10100</v>
      </c>
      <c r="J29" s="65">
        <v>10600</v>
      </c>
      <c r="K29" s="65">
        <v>11000</v>
      </c>
      <c r="L29" s="65">
        <v>11500</v>
      </c>
      <c r="M29" s="65"/>
      <c r="N29" s="65">
        <v>12700</v>
      </c>
      <c r="O29" s="65">
        <v>12500</v>
      </c>
      <c r="P29" s="65">
        <v>13300</v>
      </c>
      <c r="Q29" s="65">
        <v>14000</v>
      </c>
      <c r="R29" s="65">
        <v>14800</v>
      </c>
      <c r="S29" s="65">
        <v>15300</v>
      </c>
      <c r="T29" s="65">
        <v>15900</v>
      </c>
      <c r="U29" s="65">
        <v>16400</v>
      </c>
      <c r="V29" s="65">
        <v>17100</v>
      </c>
      <c r="W29" s="66">
        <f t="shared" si="0"/>
        <v>200</v>
      </c>
      <c r="X29" s="58"/>
      <c r="Y29" s="58"/>
      <c r="Z29" s="58"/>
      <c r="AA29" s="58"/>
      <c r="AB29" s="58"/>
    </row>
    <row r="30" spans="3:28" x14ac:dyDescent="0.35">
      <c r="C30" s="64">
        <v>25</v>
      </c>
      <c r="D30" s="65">
        <v>9260</v>
      </c>
      <c r="E30" s="65">
        <v>9280</v>
      </c>
      <c r="F30" s="65">
        <v>9910</v>
      </c>
      <c r="G30" s="65">
        <v>10000</v>
      </c>
      <c r="H30" s="65">
        <v>10100</v>
      </c>
      <c r="I30" s="65">
        <v>10300</v>
      </c>
      <c r="J30" s="65">
        <v>10800</v>
      </c>
      <c r="K30" s="65">
        <v>11200</v>
      </c>
      <c r="L30" s="65">
        <v>11800</v>
      </c>
      <c r="M30" s="65"/>
      <c r="N30" s="65">
        <v>12900</v>
      </c>
      <c r="O30" s="65">
        <v>12700</v>
      </c>
      <c r="P30" s="65">
        <v>13500</v>
      </c>
      <c r="Q30" s="65">
        <v>14200</v>
      </c>
      <c r="R30" s="65">
        <v>15000</v>
      </c>
      <c r="S30" s="65">
        <v>15500</v>
      </c>
      <c r="T30" s="65">
        <v>16100</v>
      </c>
      <c r="U30" s="65">
        <v>16700</v>
      </c>
      <c r="V30" s="65">
        <v>17400</v>
      </c>
      <c r="W30" s="66">
        <f t="shared" si="0"/>
        <v>300</v>
      </c>
      <c r="X30" s="58"/>
      <c r="Y30" s="58"/>
      <c r="Z30" s="58"/>
      <c r="AA30" s="58"/>
      <c r="AB30" s="58"/>
    </row>
    <row r="31" spans="3:28" x14ac:dyDescent="0.35">
      <c r="C31" s="64">
        <v>26</v>
      </c>
      <c r="D31" s="65">
        <v>9450</v>
      </c>
      <c r="E31" s="65">
        <v>9480</v>
      </c>
      <c r="F31" s="65">
        <v>10100</v>
      </c>
      <c r="G31" s="65">
        <v>10200</v>
      </c>
      <c r="H31" s="65">
        <v>10300</v>
      </c>
      <c r="I31" s="65">
        <v>10500</v>
      </c>
      <c r="J31" s="65">
        <v>11000</v>
      </c>
      <c r="K31" s="65">
        <v>11400</v>
      </c>
      <c r="L31" s="65">
        <v>12000</v>
      </c>
      <c r="M31" s="65"/>
      <c r="N31" s="65">
        <v>13200</v>
      </c>
      <c r="O31" s="65">
        <v>13000</v>
      </c>
      <c r="P31" s="65">
        <v>13800</v>
      </c>
      <c r="Q31" s="65">
        <v>14500</v>
      </c>
      <c r="R31" s="65">
        <v>15200</v>
      </c>
      <c r="S31" s="65">
        <v>15700</v>
      </c>
      <c r="T31" s="65">
        <v>16300</v>
      </c>
      <c r="U31" s="65">
        <v>16900</v>
      </c>
      <c r="V31" s="65">
        <v>17600</v>
      </c>
      <c r="W31" s="66">
        <f t="shared" si="0"/>
        <v>200</v>
      </c>
      <c r="X31" s="58"/>
      <c r="Y31" s="58"/>
      <c r="Z31" s="58"/>
      <c r="AA31" s="58"/>
      <c r="AB31" s="58"/>
    </row>
    <row r="32" spans="3:28" x14ac:dyDescent="0.35">
      <c r="C32" s="64">
        <v>27</v>
      </c>
      <c r="D32" s="65">
        <v>9620</v>
      </c>
      <c r="E32" s="65">
        <v>9680</v>
      </c>
      <c r="F32" s="65">
        <v>10300</v>
      </c>
      <c r="G32" s="65">
        <v>10400</v>
      </c>
      <c r="H32" s="65">
        <v>10600</v>
      </c>
      <c r="I32" s="65">
        <v>10700</v>
      </c>
      <c r="J32" s="65">
        <v>11300</v>
      </c>
      <c r="K32" s="65">
        <v>11700</v>
      </c>
      <c r="L32" s="65">
        <v>12300</v>
      </c>
      <c r="M32" s="65"/>
      <c r="N32" s="65">
        <v>13400</v>
      </c>
      <c r="O32" s="65">
        <v>13200</v>
      </c>
      <c r="P32" s="65">
        <v>14000</v>
      </c>
      <c r="Q32" s="65">
        <v>14700</v>
      </c>
      <c r="R32" s="65">
        <v>15500</v>
      </c>
      <c r="S32" s="65">
        <v>16000</v>
      </c>
      <c r="T32" s="65">
        <v>16600</v>
      </c>
      <c r="U32" s="65">
        <v>17100</v>
      </c>
      <c r="V32" s="65">
        <v>17800</v>
      </c>
      <c r="W32" s="66">
        <f t="shared" si="0"/>
        <v>200</v>
      </c>
      <c r="X32" s="58"/>
      <c r="Y32" s="58"/>
      <c r="Z32" s="58"/>
      <c r="AA32" s="58"/>
      <c r="AB32" s="58"/>
    </row>
    <row r="33" spans="3:28" x14ac:dyDescent="0.35">
      <c r="C33" s="64">
        <v>28</v>
      </c>
      <c r="D33" s="65">
        <v>9800</v>
      </c>
      <c r="E33" s="65">
        <v>9880</v>
      </c>
      <c r="F33" s="65">
        <v>10500</v>
      </c>
      <c r="G33" s="65">
        <v>10600</v>
      </c>
      <c r="H33" s="65">
        <v>10800</v>
      </c>
      <c r="I33" s="65">
        <v>11000</v>
      </c>
      <c r="J33" s="65">
        <v>11500</v>
      </c>
      <c r="K33" s="65">
        <v>11900</v>
      </c>
      <c r="L33" s="65">
        <v>12500</v>
      </c>
      <c r="M33" s="65"/>
      <c r="N33" s="65">
        <v>13700</v>
      </c>
      <c r="O33" s="65">
        <v>13500</v>
      </c>
      <c r="P33" s="65">
        <v>14300</v>
      </c>
      <c r="Q33" s="65">
        <v>14900</v>
      </c>
      <c r="R33" s="65">
        <v>15700</v>
      </c>
      <c r="S33" s="65">
        <v>16200</v>
      </c>
      <c r="T33" s="65">
        <v>16800</v>
      </c>
      <c r="U33" s="65">
        <v>17400</v>
      </c>
      <c r="V33" s="65">
        <v>18100</v>
      </c>
      <c r="W33" s="66">
        <f t="shared" si="0"/>
        <v>300</v>
      </c>
      <c r="X33" s="58"/>
      <c r="Y33" s="58"/>
      <c r="Z33" s="58"/>
      <c r="AA33" s="58"/>
      <c r="AB33" s="58"/>
    </row>
    <row r="34" spans="3:28" x14ac:dyDescent="0.35">
      <c r="C34" s="64">
        <v>29</v>
      </c>
      <c r="D34" s="65">
        <v>9990</v>
      </c>
      <c r="E34" s="65">
        <v>10100</v>
      </c>
      <c r="F34" s="65">
        <v>10800</v>
      </c>
      <c r="G34" s="65">
        <v>10900</v>
      </c>
      <c r="H34" s="65">
        <v>11000</v>
      </c>
      <c r="I34" s="65">
        <v>11200</v>
      </c>
      <c r="J34" s="65">
        <v>11700</v>
      </c>
      <c r="K34" s="65">
        <v>12100</v>
      </c>
      <c r="L34" s="65">
        <v>12700</v>
      </c>
      <c r="M34" s="65"/>
      <c r="N34" s="65">
        <v>13900</v>
      </c>
      <c r="O34" s="65">
        <v>13700</v>
      </c>
      <c r="P34" s="65">
        <v>14500</v>
      </c>
      <c r="Q34" s="65">
        <v>15200</v>
      </c>
      <c r="R34" s="65">
        <v>15900</v>
      </c>
      <c r="S34" s="65">
        <v>16400</v>
      </c>
      <c r="T34" s="65">
        <v>17100</v>
      </c>
      <c r="U34" s="65">
        <v>17600</v>
      </c>
      <c r="V34" s="65">
        <v>18300</v>
      </c>
      <c r="W34" s="66">
        <f t="shared" si="0"/>
        <v>200</v>
      </c>
      <c r="X34" s="58"/>
      <c r="Y34" s="58"/>
      <c r="Z34" s="58"/>
      <c r="AA34" s="58"/>
      <c r="AB34" s="58"/>
    </row>
    <row r="35" spans="3:28" x14ac:dyDescent="0.35">
      <c r="C35" s="64">
        <v>30</v>
      </c>
      <c r="D35" s="65">
        <v>10200</v>
      </c>
      <c r="E35" s="65">
        <v>10300</v>
      </c>
      <c r="F35" s="65">
        <v>11000</v>
      </c>
      <c r="G35" s="65">
        <v>11100</v>
      </c>
      <c r="H35" s="65">
        <v>11200</v>
      </c>
      <c r="I35" s="65">
        <v>11400</v>
      </c>
      <c r="J35" s="65">
        <v>11900</v>
      </c>
      <c r="K35" s="65">
        <v>12400</v>
      </c>
      <c r="L35" s="65">
        <v>13000</v>
      </c>
      <c r="M35" s="65"/>
      <c r="N35" s="65">
        <v>14100</v>
      </c>
      <c r="O35" s="65">
        <v>13900</v>
      </c>
      <c r="P35" s="65">
        <v>14700</v>
      </c>
      <c r="Q35" s="65">
        <v>15400</v>
      </c>
      <c r="R35" s="65">
        <v>16200</v>
      </c>
      <c r="S35" s="65">
        <v>16700</v>
      </c>
      <c r="T35" s="65">
        <v>17300</v>
      </c>
      <c r="U35" s="65">
        <v>17800</v>
      </c>
      <c r="V35" s="65">
        <v>18600</v>
      </c>
      <c r="W35" s="66">
        <f t="shared" si="0"/>
        <v>300</v>
      </c>
      <c r="X35" s="58"/>
      <c r="Y35" s="58"/>
      <c r="Z35" s="58"/>
      <c r="AA35" s="58"/>
      <c r="AB35" s="58"/>
    </row>
    <row r="36" spans="3:28" x14ac:dyDescent="0.35">
      <c r="C36" s="64">
        <v>31</v>
      </c>
      <c r="D36" s="65">
        <v>10400</v>
      </c>
      <c r="E36" s="65">
        <v>10500</v>
      </c>
      <c r="F36" s="65">
        <v>11200</v>
      </c>
      <c r="G36" s="65">
        <v>11300</v>
      </c>
      <c r="H36" s="65">
        <v>11400</v>
      </c>
      <c r="I36" s="65">
        <v>11600</v>
      </c>
      <c r="J36" s="65">
        <v>12100</v>
      </c>
      <c r="K36" s="65">
        <v>12600</v>
      </c>
      <c r="L36" s="65">
        <v>13200</v>
      </c>
      <c r="M36" s="65"/>
      <c r="N36" s="65">
        <v>14400</v>
      </c>
      <c r="O36" s="65">
        <v>14200</v>
      </c>
      <c r="P36" s="65">
        <v>15000</v>
      </c>
      <c r="Q36" s="65">
        <v>15700</v>
      </c>
      <c r="R36" s="65">
        <v>16400</v>
      </c>
      <c r="S36" s="65">
        <v>16900</v>
      </c>
      <c r="T36" s="65">
        <v>17600</v>
      </c>
      <c r="U36" s="65">
        <v>18100</v>
      </c>
      <c r="V36" s="65">
        <v>18800</v>
      </c>
      <c r="W36" s="66">
        <f t="shared" si="0"/>
        <v>200</v>
      </c>
      <c r="X36" s="58"/>
      <c r="Y36" s="58"/>
      <c r="Z36" s="58"/>
      <c r="AA36" s="58"/>
      <c r="AB36" s="58"/>
    </row>
    <row r="37" spans="3:28" x14ac:dyDescent="0.35">
      <c r="C37" s="64">
        <v>32</v>
      </c>
      <c r="D37" s="65">
        <v>10600</v>
      </c>
      <c r="E37" s="65">
        <v>10700</v>
      </c>
      <c r="F37" s="65">
        <v>11400</v>
      </c>
      <c r="G37" s="65">
        <v>11500</v>
      </c>
      <c r="H37" s="65">
        <v>11700</v>
      </c>
      <c r="I37" s="65">
        <v>11800</v>
      </c>
      <c r="J37" s="65">
        <v>12400</v>
      </c>
      <c r="K37" s="65">
        <v>12800</v>
      </c>
      <c r="L37" s="65">
        <v>13500</v>
      </c>
      <c r="M37" s="65"/>
      <c r="N37" s="65">
        <v>14600</v>
      </c>
      <c r="O37" s="65">
        <v>14400</v>
      </c>
      <c r="P37" s="65">
        <v>15200</v>
      </c>
      <c r="Q37" s="65">
        <v>15900</v>
      </c>
      <c r="R37" s="65">
        <v>16700</v>
      </c>
      <c r="S37" s="65">
        <v>17200</v>
      </c>
      <c r="T37" s="65">
        <v>17800</v>
      </c>
      <c r="U37" s="65">
        <v>18300</v>
      </c>
      <c r="V37" s="65">
        <v>19100</v>
      </c>
      <c r="W37" s="66">
        <f t="shared" si="0"/>
        <v>300</v>
      </c>
      <c r="X37" s="58"/>
      <c r="Y37" s="58"/>
      <c r="Z37" s="58"/>
      <c r="AA37" s="58"/>
      <c r="AB37" s="58"/>
    </row>
    <row r="38" spans="3:28" x14ac:dyDescent="0.35">
      <c r="C38" s="64">
        <v>33</v>
      </c>
      <c r="D38" s="65">
        <v>10800</v>
      </c>
      <c r="E38" s="65">
        <v>10900</v>
      </c>
      <c r="F38" s="65">
        <v>11600</v>
      </c>
      <c r="G38" s="65">
        <v>11800</v>
      </c>
      <c r="H38" s="65">
        <v>11900</v>
      </c>
      <c r="I38" s="65">
        <v>12100</v>
      </c>
      <c r="J38" s="65">
        <v>12600</v>
      </c>
      <c r="K38" s="65">
        <v>13100</v>
      </c>
      <c r="L38" s="65">
        <v>13700</v>
      </c>
      <c r="M38" s="65"/>
      <c r="N38" s="65">
        <v>14900</v>
      </c>
      <c r="O38" s="65">
        <v>14700</v>
      </c>
      <c r="P38" s="65">
        <v>15500</v>
      </c>
      <c r="Q38" s="65">
        <v>16100</v>
      </c>
      <c r="R38" s="65">
        <v>16900</v>
      </c>
      <c r="S38" s="65">
        <v>17400</v>
      </c>
      <c r="T38" s="65">
        <v>18100</v>
      </c>
      <c r="U38" s="65">
        <v>18600</v>
      </c>
      <c r="V38" s="65">
        <v>19300</v>
      </c>
      <c r="W38" s="66">
        <f t="shared" si="0"/>
        <v>200</v>
      </c>
      <c r="X38" s="58"/>
      <c r="Y38" s="58"/>
      <c r="Z38" s="58"/>
      <c r="AA38" s="58"/>
      <c r="AB38" s="58"/>
    </row>
    <row r="39" spans="3:28" x14ac:dyDescent="0.35">
      <c r="C39" s="64">
        <v>34</v>
      </c>
      <c r="D39" s="65">
        <v>11000</v>
      </c>
      <c r="E39" s="65">
        <v>11200</v>
      </c>
      <c r="F39" s="65">
        <v>11900</v>
      </c>
      <c r="G39" s="65">
        <v>12000</v>
      </c>
      <c r="H39" s="65">
        <v>12100</v>
      </c>
      <c r="I39" s="65">
        <v>12300</v>
      </c>
      <c r="J39" s="65">
        <v>12900</v>
      </c>
      <c r="K39" s="65">
        <v>13300</v>
      </c>
      <c r="L39" s="65">
        <v>14000</v>
      </c>
      <c r="M39" s="65"/>
      <c r="N39" s="65">
        <v>15100</v>
      </c>
      <c r="O39" s="65">
        <v>14900</v>
      </c>
      <c r="P39" s="65">
        <v>15800</v>
      </c>
      <c r="Q39" s="65">
        <v>16400</v>
      </c>
      <c r="R39" s="65">
        <v>17200</v>
      </c>
      <c r="S39" s="65">
        <v>17700</v>
      </c>
      <c r="T39" s="65">
        <v>18300</v>
      </c>
      <c r="U39" s="65">
        <v>18800</v>
      </c>
      <c r="V39" s="65">
        <v>19600</v>
      </c>
      <c r="W39" s="66">
        <f t="shared" si="0"/>
        <v>300</v>
      </c>
      <c r="X39" s="58"/>
      <c r="Y39" s="58"/>
      <c r="Z39" s="58"/>
      <c r="AA39" s="58"/>
      <c r="AB39" s="58"/>
    </row>
    <row r="40" spans="3:28" x14ac:dyDescent="0.35">
      <c r="C40" s="64">
        <v>35</v>
      </c>
      <c r="D40" s="65">
        <v>11200</v>
      </c>
      <c r="E40" s="65">
        <v>11400</v>
      </c>
      <c r="F40" s="65">
        <v>12100</v>
      </c>
      <c r="G40" s="65">
        <v>12200</v>
      </c>
      <c r="H40" s="65">
        <v>12300</v>
      </c>
      <c r="I40" s="65">
        <v>12500</v>
      </c>
      <c r="J40" s="65">
        <v>13100</v>
      </c>
      <c r="K40" s="65">
        <v>13600</v>
      </c>
      <c r="L40" s="65">
        <v>14200</v>
      </c>
      <c r="M40" s="65"/>
      <c r="N40" s="65">
        <v>15400</v>
      </c>
      <c r="O40" s="65">
        <v>15200</v>
      </c>
      <c r="P40" s="65">
        <v>16000</v>
      </c>
      <c r="Q40" s="65">
        <v>16700</v>
      </c>
      <c r="R40" s="65">
        <v>17400</v>
      </c>
      <c r="S40" s="65">
        <v>17900</v>
      </c>
      <c r="T40" s="65">
        <v>18600</v>
      </c>
      <c r="U40" s="65">
        <v>19100</v>
      </c>
      <c r="V40" s="65">
        <v>19900</v>
      </c>
      <c r="W40" s="66">
        <f t="shared" si="0"/>
        <v>300</v>
      </c>
      <c r="X40" s="58"/>
      <c r="Y40" s="58"/>
      <c r="Z40" s="58"/>
      <c r="AA40" s="58"/>
      <c r="AB40" s="58"/>
    </row>
    <row r="41" spans="3:28" x14ac:dyDescent="0.35">
      <c r="C41" s="64">
        <v>36</v>
      </c>
      <c r="D41" s="65">
        <v>11300</v>
      </c>
      <c r="E41" s="65">
        <v>11600</v>
      </c>
      <c r="F41" s="65">
        <v>12300</v>
      </c>
      <c r="G41" s="65">
        <v>12400</v>
      </c>
      <c r="H41" s="65">
        <v>12600</v>
      </c>
      <c r="I41" s="65">
        <v>12800</v>
      </c>
      <c r="J41" s="65">
        <v>13300</v>
      </c>
      <c r="K41" s="65">
        <v>13900</v>
      </c>
      <c r="L41" s="65">
        <v>14500</v>
      </c>
      <c r="M41" s="65"/>
      <c r="N41" s="65">
        <v>15600</v>
      </c>
      <c r="O41" s="65">
        <v>15400</v>
      </c>
      <c r="P41" s="65">
        <v>16300</v>
      </c>
      <c r="Q41" s="65">
        <v>16900</v>
      </c>
      <c r="R41" s="65">
        <v>17700</v>
      </c>
      <c r="S41" s="65">
        <v>18200</v>
      </c>
      <c r="T41" s="65">
        <v>18900</v>
      </c>
      <c r="U41" s="65">
        <v>19300</v>
      </c>
      <c r="V41" s="65">
        <v>20100</v>
      </c>
      <c r="W41" s="66">
        <f t="shared" si="0"/>
        <v>200</v>
      </c>
      <c r="X41" s="58"/>
      <c r="Y41" s="58"/>
      <c r="Z41" s="58"/>
      <c r="AA41" s="58"/>
      <c r="AB41" s="58"/>
    </row>
    <row r="42" spans="3:28" x14ac:dyDescent="0.35">
      <c r="C42" s="64">
        <v>37</v>
      </c>
      <c r="D42" s="65">
        <v>11600</v>
      </c>
      <c r="E42" s="65">
        <v>11800</v>
      </c>
      <c r="F42" s="65">
        <v>12500</v>
      </c>
      <c r="G42" s="65">
        <v>12600</v>
      </c>
      <c r="H42" s="65">
        <v>12800</v>
      </c>
      <c r="I42" s="65">
        <v>13000</v>
      </c>
      <c r="J42" s="65">
        <v>13600</v>
      </c>
      <c r="K42" s="65">
        <v>14100</v>
      </c>
      <c r="L42" s="65">
        <v>14800</v>
      </c>
      <c r="M42" s="65"/>
      <c r="N42" s="65">
        <v>15900</v>
      </c>
      <c r="O42" s="65">
        <v>15700</v>
      </c>
      <c r="P42" s="65">
        <v>16600</v>
      </c>
      <c r="Q42" s="65">
        <v>17200</v>
      </c>
      <c r="R42" s="65">
        <v>18000</v>
      </c>
      <c r="S42" s="65">
        <v>18400</v>
      </c>
      <c r="T42" s="65">
        <v>19100</v>
      </c>
      <c r="U42" s="65">
        <v>19600</v>
      </c>
      <c r="V42" s="65">
        <v>20400</v>
      </c>
      <c r="W42" s="66">
        <f t="shared" si="0"/>
        <v>300</v>
      </c>
      <c r="X42" s="58"/>
      <c r="Y42" s="58"/>
      <c r="Z42" s="58"/>
      <c r="AA42" s="58"/>
      <c r="AB42" s="58"/>
    </row>
    <row r="43" spans="3:28" x14ac:dyDescent="0.35">
      <c r="C43" s="64">
        <v>38</v>
      </c>
      <c r="D43" s="65">
        <v>11800</v>
      </c>
      <c r="E43" s="65">
        <v>12000</v>
      </c>
      <c r="F43" s="65">
        <v>12700</v>
      </c>
      <c r="G43" s="65">
        <v>12900</v>
      </c>
      <c r="H43" s="65">
        <v>13000</v>
      </c>
      <c r="I43" s="65">
        <v>13300</v>
      </c>
      <c r="J43" s="65">
        <v>13800</v>
      </c>
      <c r="K43" s="65">
        <v>14400</v>
      </c>
      <c r="L43" s="65">
        <v>15000</v>
      </c>
      <c r="M43" s="65"/>
      <c r="N43" s="65">
        <v>16200</v>
      </c>
      <c r="O43" s="65">
        <v>16000</v>
      </c>
      <c r="P43" s="65">
        <v>16800</v>
      </c>
      <c r="Q43" s="65">
        <v>17500</v>
      </c>
      <c r="R43" s="65">
        <v>18200</v>
      </c>
      <c r="S43" s="65">
        <v>18700</v>
      </c>
      <c r="T43" s="65">
        <v>19400</v>
      </c>
      <c r="U43" s="65">
        <v>19900</v>
      </c>
      <c r="V43" s="65">
        <v>20700</v>
      </c>
      <c r="W43" s="66">
        <f t="shared" si="0"/>
        <v>300</v>
      </c>
      <c r="X43" s="58"/>
      <c r="Y43" s="58"/>
      <c r="Z43" s="58"/>
      <c r="AA43" s="58"/>
      <c r="AB43" s="58"/>
    </row>
    <row r="44" spans="3:28" x14ac:dyDescent="0.35">
      <c r="C44" s="64">
        <v>39</v>
      </c>
      <c r="D44" s="65">
        <v>12000</v>
      </c>
      <c r="E44" s="65">
        <v>12200</v>
      </c>
      <c r="F44" s="65">
        <v>12900</v>
      </c>
      <c r="G44" s="65">
        <v>13100</v>
      </c>
      <c r="H44" s="65">
        <v>13300</v>
      </c>
      <c r="I44" s="65">
        <v>13500</v>
      </c>
      <c r="J44" s="65">
        <v>14100</v>
      </c>
      <c r="K44" s="65">
        <v>14600</v>
      </c>
      <c r="L44" s="65">
        <v>15300</v>
      </c>
      <c r="M44" s="65"/>
      <c r="N44" s="65">
        <v>16400</v>
      </c>
      <c r="O44" s="65">
        <v>16300</v>
      </c>
      <c r="P44" s="65">
        <v>17100</v>
      </c>
      <c r="Q44" s="65">
        <v>17700</v>
      </c>
      <c r="R44" s="65">
        <v>18500</v>
      </c>
      <c r="S44" s="65">
        <v>19000</v>
      </c>
      <c r="T44" s="65">
        <v>19700</v>
      </c>
      <c r="U44" s="65">
        <v>20200</v>
      </c>
      <c r="V44" s="65">
        <v>21000</v>
      </c>
      <c r="W44" s="66">
        <f t="shared" si="0"/>
        <v>300</v>
      </c>
      <c r="X44" s="58"/>
      <c r="Y44" s="58"/>
      <c r="Z44" s="58"/>
      <c r="AA44" s="58"/>
      <c r="AB44" s="58"/>
    </row>
    <row r="45" spans="3:28" x14ac:dyDescent="0.35">
      <c r="C45" s="64">
        <v>40</v>
      </c>
      <c r="D45" s="65">
        <v>12200</v>
      </c>
      <c r="E45" s="65">
        <v>12400</v>
      </c>
      <c r="F45" s="65">
        <v>13100</v>
      </c>
      <c r="G45" s="65">
        <v>13300</v>
      </c>
      <c r="H45" s="65">
        <v>13500</v>
      </c>
      <c r="I45" s="65">
        <v>13800</v>
      </c>
      <c r="J45" s="65">
        <v>14400</v>
      </c>
      <c r="K45" s="65">
        <v>14900</v>
      </c>
      <c r="L45" s="65">
        <v>15600</v>
      </c>
      <c r="M45" s="65"/>
      <c r="N45" s="65">
        <v>16700</v>
      </c>
      <c r="O45" s="65">
        <v>16500</v>
      </c>
      <c r="P45" s="65">
        <v>17400</v>
      </c>
      <c r="Q45" s="65">
        <v>18000</v>
      </c>
      <c r="R45" s="65">
        <v>18800</v>
      </c>
      <c r="S45" s="65">
        <v>19300</v>
      </c>
      <c r="T45" s="65">
        <v>20000</v>
      </c>
      <c r="U45" s="65">
        <v>20500</v>
      </c>
      <c r="V45" s="65">
        <v>21300</v>
      </c>
      <c r="W45" s="66">
        <f t="shared" si="0"/>
        <v>300</v>
      </c>
      <c r="X45" s="58"/>
      <c r="Y45" s="58"/>
      <c r="Z45" s="58"/>
      <c r="AA45" s="58"/>
      <c r="AB45" s="58"/>
    </row>
    <row r="46" spans="3:28" x14ac:dyDescent="0.35">
      <c r="C46" s="64">
        <v>41</v>
      </c>
      <c r="D46" s="65">
        <v>12400</v>
      </c>
      <c r="E46" s="65">
        <v>12700</v>
      </c>
      <c r="F46" s="65">
        <v>13400</v>
      </c>
      <c r="G46" s="65">
        <v>13600</v>
      </c>
      <c r="H46" s="65">
        <v>13800</v>
      </c>
      <c r="I46" s="65">
        <v>14000</v>
      </c>
      <c r="J46" s="65">
        <v>14600</v>
      </c>
      <c r="K46" s="65">
        <v>15100</v>
      </c>
      <c r="L46" s="65">
        <v>15800</v>
      </c>
      <c r="M46" s="65"/>
      <c r="N46" s="65">
        <v>17000</v>
      </c>
      <c r="O46" s="65">
        <v>16800</v>
      </c>
      <c r="P46" s="65">
        <v>17600</v>
      </c>
      <c r="Q46" s="65">
        <v>18300</v>
      </c>
      <c r="R46" s="65">
        <v>19100</v>
      </c>
      <c r="S46" s="65">
        <v>19500</v>
      </c>
      <c r="T46" s="65">
        <v>20300</v>
      </c>
      <c r="U46" s="65">
        <v>20800</v>
      </c>
      <c r="V46" s="65">
        <v>21600</v>
      </c>
      <c r="W46" s="66">
        <f t="shared" si="0"/>
        <v>300</v>
      </c>
      <c r="X46" s="58"/>
      <c r="Y46" s="58"/>
      <c r="Z46" s="58"/>
      <c r="AA46" s="58"/>
      <c r="AB46" s="58"/>
    </row>
    <row r="47" spans="3:28" x14ac:dyDescent="0.35">
      <c r="C47" s="64">
        <v>42</v>
      </c>
      <c r="D47" s="65">
        <v>12600</v>
      </c>
      <c r="E47" s="65">
        <v>12900</v>
      </c>
      <c r="F47" s="65">
        <v>13600</v>
      </c>
      <c r="G47" s="65">
        <v>13800</v>
      </c>
      <c r="H47" s="65">
        <v>14000</v>
      </c>
      <c r="I47" s="65">
        <v>14300</v>
      </c>
      <c r="J47" s="65">
        <v>14900</v>
      </c>
      <c r="K47" s="65">
        <v>15400</v>
      </c>
      <c r="L47" s="65">
        <v>16100</v>
      </c>
      <c r="M47" s="65"/>
      <c r="N47" s="65">
        <v>17200</v>
      </c>
      <c r="O47" s="65">
        <v>17100</v>
      </c>
      <c r="P47" s="65">
        <v>17900</v>
      </c>
      <c r="Q47" s="65">
        <v>18600</v>
      </c>
      <c r="R47" s="65">
        <v>19300</v>
      </c>
      <c r="S47" s="65">
        <v>19800</v>
      </c>
      <c r="T47" s="65">
        <v>20600</v>
      </c>
      <c r="U47" s="65">
        <v>21100</v>
      </c>
      <c r="V47" s="65">
        <v>21900</v>
      </c>
      <c r="W47" s="66">
        <f t="shared" si="0"/>
        <v>300</v>
      </c>
      <c r="X47" s="58"/>
      <c r="Y47" s="58"/>
      <c r="Z47" s="58"/>
      <c r="AA47" s="58"/>
      <c r="AB47" s="58"/>
    </row>
    <row r="48" spans="3:28" x14ac:dyDescent="0.35">
      <c r="C48" s="64">
        <v>43</v>
      </c>
      <c r="D48" s="65">
        <v>12800</v>
      </c>
      <c r="E48" s="65">
        <v>13100</v>
      </c>
      <c r="F48" s="65">
        <v>13800</v>
      </c>
      <c r="G48" s="65">
        <v>14100</v>
      </c>
      <c r="H48" s="65">
        <v>14200</v>
      </c>
      <c r="I48" s="65">
        <v>14500</v>
      </c>
      <c r="J48" s="65">
        <v>15100</v>
      </c>
      <c r="K48" s="65">
        <v>15700</v>
      </c>
      <c r="L48" s="65">
        <v>16400</v>
      </c>
      <c r="M48" s="65"/>
      <c r="N48" s="65">
        <v>17500</v>
      </c>
      <c r="O48" s="65">
        <v>17400</v>
      </c>
      <c r="P48" s="65">
        <v>18200</v>
      </c>
      <c r="Q48" s="65">
        <v>18800</v>
      </c>
      <c r="R48" s="65">
        <v>19600</v>
      </c>
      <c r="S48" s="65">
        <v>20100</v>
      </c>
      <c r="T48" s="65">
        <v>20900</v>
      </c>
      <c r="U48" s="65">
        <v>21400</v>
      </c>
      <c r="V48" s="65">
        <v>22200</v>
      </c>
      <c r="W48" s="66">
        <f t="shared" si="0"/>
        <v>300</v>
      </c>
      <c r="X48" s="58"/>
      <c r="Y48" s="58"/>
      <c r="Z48" s="58"/>
      <c r="AA48" s="58"/>
      <c r="AB48" s="58"/>
    </row>
    <row r="49" spans="2:28" x14ac:dyDescent="0.35">
      <c r="C49" s="64">
        <v>44</v>
      </c>
      <c r="D49" s="65">
        <v>13000</v>
      </c>
      <c r="E49" s="65">
        <v>13300</v>
      </c>
      <c r="F49" s="65">
        <v>14100</v>
      </c>
      <c r="G49" s="65">
        <v>14300</v>
      </c>
      <c r="H49" s="65">
        <v>14500</v>
      </c>
      <c r="I49" s="65">
        <v>14800</v>
      </c>
      <c r="J49" s="65">
        <v>15400</v>
      </c>
      <c r="K49" s="65">
        <v>16000</v>
      </c>
      <c r="L49" s="65">
        <v>16700</v>
      </c>
      <c r="M49" s="65"/>
      <c r="N49" s="65">
        <v>17800</v>
      </c>
      <c r="O49" s="65">
        <v>17700</v>
      </c>
      <c r="P49" s="65">
        <v>18500</v>
      </c>
      <c r="Q49" s="65">
        <v>19100</v>
      </c>
      <c r="R49" s="65">
        <v>19900</v>
      </c>
      <c r="S49" s="65">
        <v>20400</v>
      </c>
      <c r="T49" s="65">
        <v>21200</v>
      </c>
      <c r="U49" s="65">
        <v>21700</v>
      </c>
      <c r="V49" s="65">
        <v>22500</v>
      </c>
      <c r="W49" s="66">
        <f t="shared" si="0"/>
        <v>300</v>
      </c>
      <c r="X49" s="58"/>
      <c r="Y49" s="58"/>
      <c r="Z49" s="58"/>
      <c r="AA49" s="58"/>
      <c r="AB49" s="58"/>
    </row>
    <row r="50" spans="2:28" x14ac:dyDescent="0.35">
      <c r="C50" s="64">
        <v>45</v>
      </c>
      <c r="D50" s="65">
        <v>13200</v>
      </c>
      <c r="E50" s="65">
        <v>13600</v>
      </c>
      <c r="F50" s="65">
        <v>14300</v>
      </c>
      <c r="G50" s="65">
        <v>14500</v>
      </c>
      <c r="H50" s="65">
        <v>14700</v>
      </c>
      <c r="I50" s="65">
        <v>15100</v>
      </c>
      <c r="J50" s="65">
        <v>15700</v>
      </c>
      <c r="K50" s="65">
        <v>16200</v>
      </c>
      <c r="L50" s="65">
        <v>17000</v>
      </c>
      <c r="M50" s="65"/>
      <c r="N50" s="65">
        <v>18100</v>
      </c>
      <c r="O50" s="65">
        <v>17900</v>
      </c>
      <c r="P50" s="65">
        <v>18800</v>
      </c>
      <c r="Q50" s="65">
        <v>19400</v>
      </c>
      <c r="R50" s="65">
        <v>20200</v>
      </c>
      <c r="S50" s="65">
        <v>20700</v>
      </c>
      <c r="T50" s="65">
        <v>21500</v>
      </c>
      <c r="U50" s="65">
        <v>22000</v>
      </c>
      <c r="V50" s="65">
        <v>22800</v>
      </c>
      <c r="W50" s="66">
        <f t="shared" si="0"/>
        <v>300</v>
      </c>
      <c r="X50" s="58"/>
      <c r="Y50" s="58"/>
      <c r="Z50" s="58"/>
      <c r="AA50" s="58"/>
      <c r="AB50" s="58"/>
    </row>
    <row r="51" spans="2:28" x14ac:dyDescent="0.35">
      <c r="C51" s="64">
        <v>46</v>
      </c>
      <c r="D51" s="65">
        <v>13400</v>
      </c>
      <c r="E51" s="65">
        <v>13800</v>
      </c>
      <c r="F51" s="65">
        <v>14500</v>
      </c>
      <c r="G51" s="65">
        <v>14800</v>
      </c>
      <c r="H51" s="65">
        <v>15000</v>
      </c>
      <c r="I51" s="65">
        <v>15300</v>
      </c>
      <c r="J51" s="65">
        <v>16000</v>
      </c>
      <c r="K51" s="65">
        <v>16500</v>
      </c>
      <c r="L51" s="65">
        <v>17300</v>
      </c>
      <c r="M51" s="65"/>
      <c r="N51" s="65">
        <v>18400</v>
      </c>
      <c r="O51" s="65">
        <v>18200</v>
      </c>
      <c r="P51" s="65">
        <v>19100</v>
      </c>
      <c r="Q51" s="65">
        <v>19700</v>
      </c>
      <c r="R51" s="65">
        <v>20600</v>
      </c>
      <c r="S51" s="65">
        <v>21100</v>
      </c>
      <c r="T51" s="65">
        <v>21800</v>
      </c>
      <c r="U51" s="65">
        <v>22300</v>
      </c>
      <c r="V51" s="65">
        <v>23100</v>
      </c>
      <c r="W51" s="66">
        <f t="shared" si="0"/>
        <v>300</v>
      </c>
      <c r="X51" s="58"/>
      <c r="Y51" s="58"/>
      <c r="Z51" s="58"/>
      <c r="AA51" s="58"/>
      <c r="AB51" s="58"/>
    </row>
    <row r="52" spans="2:28" x14ac:dyDescent="0.35">
      <c r="C52" s="64">
        <v>47</v>
      </c>
      <c r="D52" s="65">
        <v>13700</v>
      </c>
      <c r="E52" s="65">
        <v>14100</v>
      </c>
      <c r="F52" s="65">
        <v>14800</v>
      </c>
      <c r="G52" s="65">
        <v>15000</v>
      </c>
      <c r="H52" s="65">
        <v>15200</v>
      </c>
      <c r="I52" s="65">
        <v>15600</v>
      </c>
      <c r="J52" s="65">
        <v>16300</v>
      </c>
      <c r="K52" s="65">
        <v>16800</v>
      </c>
      <c r="L52" s="65">
        <v>17600</v>
      </c>
      <c r="M52" s="65"/>
      <c r="N52" s="65">
        <v>18700</v>
      </c>
      <c r="O52" s="65">
        <v>18500</v>
      </c>
      <c r="P52" s="65">
        <v>19400</v>
      </c>
      <c r="Q52" s="65">
        <v>20000</v>
      </c>
      <c r="R52" s="65">
        <v>20900</v>
      </c>
      <c r="S52" s="65">
        <v>21400</v>
      </c>
      <c r="T52" s="65">
        <v>22200</v>
      </c>
      <c r="U52" s="65">
        <v>22600</v>
      </c>
      <c r="V52" s="65">
        <v>23400</v>
      </c>
      <c r="W52" s="66">
        <f t="shared" si="0"/>
        <v>300</v>
      </c>
      <c r="X52" s="58"/>
      <c r="Y52" s="58"/>
      <c r="Z52" s="58"/>
      <c r="AA52" s="58"/>
      <c r="AB52" s="58"/>
    </row>
    <row r="53" spans="2:28" x14ac:dyDescent="0.35">
      <c r="C53" s="64">
        <v>48</v>
      </c>
      <c r="D53" s="65">
        <v>13900</v>
      </c>
      <c r="E53" s="65">
        <v>14300</v>
      </c>
      <c r="F53" s="65">
        <v>15000</v>
      </c>
      <c r="G53" s="65">
        <v>15300</v>
      </c>
      <c r="H53" s="65">
        <v>15500</v>
      </c>
      <c r="I53" s="65">
        <v>15900</v>
      </c>
      <c r="J53" s="65">
        <v>16600</v>
      </c>
      <c r="K53" s="65">
        <v>17100</v>
      </c>
      <c r="L53" s="65">
        <v>17900</v>
      </c>
      <c r="M53" s="65"/>
      <c r="N53" s="65">
        <v>19000</v>
      </c>
      <c r="O53" s="65">
        <v>18800</v>
      </c>
      <c r="P53" s="65">
        <v>19700</v>
      </c>
      <c r="Q53" s="65">
        <v>20400</v>
      </c>
      <c r="R53" s="65">
        <v>21200</v>
      </c>
      <c r="S53" s="65">
        <v>21700</v>
      </c>
      <c r="T53" s="65">
        <v>22500</v>
      </c>
      <c r="U53" s="65">
        <v>22900</v>
      </c>
      <c r="V53" s="65">
        <v>23800</v>
      </c>
      <c r="W53" s="66">
        <f t="shared" si="0"/>
        <v>400</v>
      </c>
      <c r="X53" s="58"/>
      <c r="Y53" s="58"/>
      <c r="Z53" s="58"/>
      <c r="AA53" s="58"/>
      <c r="AB53" s="58"/>
    </row>
    <row r="54" spans="2:28" x14ac:dyDescent="0.35">
      <c r="C54" s="64">
        <v>49</v>
      </c>
      <c r="D54" s="65">
        <v>14100</v>
      </c>
      <c r="E54" s="65">
        <v>14500</v>
      </c>
      <c r="F54" s="65">
        <v>15300</v>
      </c>
      <c r="G54" s="65">
        <v>15500</v>
      </c>
      <c r="H54" s="65">
        <v>15700</v>
      </c>
      <c r="I54" s="65">
        <v>16200</v>
      </c>
      <c r="J54" s="65">
        <v>16800</v>
      </c>
      <c r="K54" s="65">
        <v>17400</v>
      </c>
      <c r="L54" s="65">
        <v>18200</v>
      </c>
      <c r="M54" s="65"/>
      <c r="N54" s="65">
        <v>19300</v>
      </c>
      <c r="O54" s="65">
        <v>19100</v>
      </c>
      <c r="P54" s="65">
        <v>20000</v>
      </c>
      <c r="Q54" s="65">
        <v>20700</v>
      </c>
      <c r="R54" s="65">
        <v>21500</v>
      </c>
      <c r="S54" s="65">
        <v>22000</v>
      </c>
      <c r="T54" s="65">
        <v>22800</v>
      </c>
      <c r="U54" s="65">
        <v>23300</v>
      </c>
      <c r="V54" s="65">
        <v>24100</v>
      </c>
      <c r="W54" s="66">
        <f t="shared" si="0"/>
        <v>300</v>
      </c>
      <c r="X54" s="58"/>
      <c r="Y54" s="58"/>
      <c r="Z54" s="58"/>
      <c r="AA54" s="58"/>
      <c r="AB54" s="58"/>
    </row>
    <row r="55" spans="2:28" x14ac:dyDescent="0.35">
      <c r="B55" s="67"/>
      <c r="C55" s="68">
        <v>50</v>
      </c>
      <c r="D55" s="69">
        <v>14400</v>
      </c>
      <c r="E55" s="69">
        <v>14800</v>
      </c>
      <c r="F55" s="69">
        <v>15500</v>
      </c>
      <c r="G55" s="69">
        <v>15800</v>
      </c>
      <c r="H55" s="69">
        <v>16000</v>
      </c>
      <c r="I55" s="69">
        <v>16400</v>
      </c>
      <c r="J55" s="69">
        <v>17100</v>
      </c>
      <c r="K55" s="69">
        <v>17700</v>
      </c>
      <c r="L55" s="69">
        <v>18500</v>
      </c>
      <c r="M55" s="69"/>
      <c r="N55" s="69">
        <v>19600</v>
      </c>
      <c r="O55" s="69">
        <v>19500</v>
      </c>
      <c r="P55" s="69">
        <v>20300</v>
      </c>
      <c r="Q55" s="69">
        <v>21000</v>
      </c>
      <c r="R55" s="69">
        <v>21900</v>
      </c>
      <c r="S55" s="69">
        <v>22400</v>
      </c>
      <c r="T55" s="69">
        <v>23200</v>
      </c>
      <c r="U55" s="69">
        <v>23600</v>
      </c>
      <c r="V55" s="69">
        <v>24400</v>
      </c>
      <c r="W55" s="66">
        <f t="shared" si="0"/>
        <v>300</v>
      </c>
      <c r="X55" s="58"/>
      <c r="Y55" s="58"/>
      <c r="Z55" s="58"/>
      <c r="AA55" s="58"/>
      <c r="AB55" s="58"/>
    </row>
    <row r="56" spans="2:28" x14ac:dyDescent="0.35">
      <c r="C56" s="64">
        <v>51</v>
      </c>
      <c r="D56" s="65">
        <v>14600</v>
      </c>
      <c r="E56" s="65">
        <v>15000</v>
      </c>
      <c r="F56" s="65">
        <v>15800</v>
      </c>
      <c r="G56" s="65">
        <v>16100</v>
      </c>
      <c r="H56" s="65">
        <v>16300</v>
      </c>
      <c r="I56" s="65">
        <v>16700</v>
      </c>
      <c r="J56" s="65">
        <v>17400</v>
      </c>
      <c r="K56" s="65">
        <v>18100</v>
      </c>
      <c r="L56" s="65">
        <v>18800</v>
      </c>
      <c r="M56" s="65"/>
      <c r="N56" s="65">
        <v>19900</v>
      </c>
      <c r="O56" s="65">
        <v>19800</v>
      </c>
      <c r="P56" s="65">
        <v>20700</v>
      </c>
      <c r="Q56" s="65">
        <v>21400</v>
      </c>
      <c r="R56" s="65">
        <v>22200</v>
      </c>
      <c r="S56" s="65">
        <v>22700</v>
      </c>
      <c r="T56" s="65">
        <v>23500</v>
      </c>
      <c r="U56" s="65">
        <v>23900</v>
      </c>
      <c r="V56" s="65">
        <v>24800</v>
      </c>
      <c r="W56" s="66">
        <f t="shared" si="0"/>
        <v>400</v>
      </c>
      <c r="X56" s="58"/>
      <c r="Y56" s="58"/>
      <c r="Z56" s="58"/>
      <c r="AA56" s="58"/>
      <c r="AB56" s="58"/>
    </row>
    <row r="57" spans="2:28" x14ac:dyDescent="0.35">
      <c r="C57" s="64">
        <v>52</v>
      </c>
      <c r="D57" s="65">
        <v>14800</v>
      </c>
      <c r="E57" s="65">
        <v>15300</v>
      </c>
      <c r="F57" s="65">
        <v>16000</v>
      </c>
      <c r="G57" s="65">
        <v>16300</v>
      </c>
      <c r="H57" s="65">
        <v>16600</v>
      </c>
      <c r="I57" s="65">
        <v>17000</v>
      </c>
      <c r="J57" s="65">
        <v>17700</v>
      </c>
      <c r="K57" s="65">
        <v>18400</v>
      </c>
      <c r="L57" s="65">
        <v>19100</v>
      </c>
      <c r="M57" s="65"/>
      <c r="N57" s="65">
        <v>20200</v>
      </c>
      <c r="O57" s="65">
        <v>20100</v>
      </c>
      <c r="P57" s="65">
        <v>21000</v>
      </c>
      <c r="Q57" s="65">
        <v>21700</v>
      </c>
      <c r="R57" s="65">
        <v>22500</v>
      </c>
      <c r="S57" s="65">
        <v>23000</v>
      </c>
      <c r="T57" s="65">
        <v>23900</v>
      </c>
      <c r="U57" s="65">
        <v>24300</v>
      </c>
      <c r="V57" s="65">
        <v>25200</v>
      </c>
      <c r="W57" s="66">
        <f t="shared" si="0"/>
        <v>400</v>
      </c>
      <c r="X57" s="58"/>
      <c r="Y57" s="58"/>
      <c r="Z57" s="58"/>
      <c r="AA57" s="58"/>
      <c r="AB57" s="58"/>
    </row>
    <row r="58" spans="2:28" x14ac:dyDescent="0.35">
      <c r="C58" s="64">
        <v>53</v>
      </c>
      <c r="D58" s="65">
        <v>15100</v>
      </c>
      <c r="E58" s="65">
        <v>15500</v>
      </c>
      <c r="F58" s="65">
        <v>16300</v>
      </c>
      <c r="G58" s="65">
        <v>16600</v>
      </c>
      <c r="H58" s="65">
        <v>16800</v>
      </c>
      <c r="I58" s="65">
        <v>17300</v>
      </c>
      <c r="J58" s="65">
        <v>18000</v>
      </c>
      <c r="K58" s="65">
        <v>18700</v>
      </c>
      <c r="L58" s="65">
        <v>19500</v>
      </c>
      <c r="M58" s="65"/>
      <c r="N58" s="65">
        <v>20500</v>
      </c>
      <c r="O58" s="65">
        <v>20400</v>
      </c>
      <c r="P58" s="65">
        <v>21300</v>
      </c>
      <c r="Q58" s="65">
        <v>22100</v>
      </c>
      <c r="R58" s="65">
        <v>22900</v>
      </c>
      <c r="S58" s="65">
        <v>23400</v>
      </c>
      <c r="T58" s="65">
        <v>24300</v>
      </c>
      <c r="U58" s="65">
        <v>24700</v>
      </c>
      <c r="V58" s="65">
        <v>25600</v>
      </c>
      <c r="W58" s="66">
        <f t="shared" si="0"/>
        <v>400</v>
      </c>
      <c r="X58" s="58"/>
      <c r="Y58" s="58"/>
      <c r="Z58" s="58"/>
      <c r="AA58" s="58"/>
      <c r="AB58" s="58"/>
    </row>
    <row r="59" spans="2:28" x14ac:dyDescent="0.35">
      <c r="C59" s="64">
        <v>54</v>
      </c>
      <c r="D59" s="65">
        <v>15300</v>
      </c>
      <c r="E59" s="65">
        <v>15800</v>
      </c>
      <c r="F59" s="65">
        <v>16600</v>
      </c>
      <c r="G59" s="65">
        <v>16900</v>
      </c>
      <c r="H59" s="65">
        <v>17100</v>
      </c>
      <c r="I59" s="65">
        <v>17600</v>
      </c>
      <c r="J59" s="65">
        <v>18400</v>
      </c>
      <c r="K59" s="65">
        <v>19000</v>
      </c>
      <c r="L59" s="65">
        <v>19800</v>
      </c>
      <c r="M59" s="65"/>
      <c r="N59" s="65">
        <v>20900</v>
      </c>
      <c r="O59" s="65">
        <v>20800</v>
      </c>
      <c r="P59" s="65">
        <v>21700</v>
      </c>
      <c r="Q59" s="65">
        <v>22400</v>
      </c>
      <c r="R59" s="65">
        <v>23200</v>
      </c>
      <c r="S59" s="65">
        <v>23800</v>
      </c>
      <c r="T59" s="65">
        <v>24600</v>
      </c>
      <c r="U59" s="65">
        <v>25000</v>
      </c>
      <c r="V59" s="65">
        <v>25900</v>
      </c>
      <c r="W59" s="66">
        <f t="shared" si="0"/>
        <v>300</v>
      </c>
      <c r="X59" s="58"/>
      <c r="Y59" s="58"/>
      <c r="Z59" s="58"/>
      <c r="AA59" s="58"/>
      <c r="AB59" s="58"/>
    </row>
    <row r="60" spans="2:28" x14ac:dyDescent="0.35">
      <c r="C60" s="64">
        <v>55</v>
      </c>
      <c r="D60" s="65">
        <v>15600</v>
      </c>
      <c r="E60" s="65">
        <v>16100</v>
      </c>
      <c r="F60" s="65">
        <v>16900</v>
      </c>
      <c r="G60" s="65">
        <v>17200</v>
      </c>
      <c r="H60" s="65">
        <v>17400</v>
      </c>
      <c r="I60" s="65">
        <v>17900</v>
      </c>
      <c r="J60" s="65">
        <v>18700</v>
      </c>
      <c r="K60" s="65">
        <v>19300</v>
      </c>
      <c r="L60" s="65">
        <v>20100</v>
      </c>
      <c r="M60" s="65"/>
      <c r="N60" s="65">
        <v>21200</v>
      </c>
      <c r="O60" s="65">
        <v>21100</v>
      </c>
      <c r="P60" s="65">
        <v>22100</v>
      </c>
      <c r="Q60" s="65">
        <v>22800</v>
      </c>
      <c r="R60" s="65">
        <v>23600</v>
      </c>
      <c r="S60" s="65">
        <v>24200</v>
      </c>
      <c r="T60" s="65">
        <v>25000</v>
      </c>
      <c r="U60" s="65">
        <v>25400</v>
      </c>
      <c r="V60" s="65">
        <v>26300</v>
      </c>
      <c r="W60" s="66">
        <f t="shared" si="0"/>
        <v>400</v>
      </c>
      <c r="X60" s="58"/>
      <c r="Y60" s="58"/>
      <c r="Z60" s="58"/>
      <c r="AA60" s="58"/>
      <c r="AB60" s="58"/>
    </row>
    <row r="61" spans="2:28" x14ac:dyDescent="0.35">
      <c r="C61" s="64">
        <v>56</v>
      </c>
      <c r="D61" s="65">
        <v>15900</v>
      </c>
      <c r="E61" s="65">
        <v>16300</v>
      </c>
      <c r="F61" s="65">
        <v>17200</v>
      </c>
      <c r="G61" s="65">
        <v>17500</v>
      </c>
      <c r="H61" s="65">
        <v>17700</v>
      </c>
      <c r="I61" s="65">
        <v>18300</v>
      </c>
      <c r="J61" s="65">
        <v>19000</v>
      </c>
      <c r="K61" s="65">
        <v>19700</v>
      </c>
      <c r="L61" s="65">
        <v>20500</v>
      </c>
      <c r="M61" s="65"/>
      <c r="N61" s="65">
        <v>21600</v>
      </c>
      <c r="O61" s="65">
        <v>21500</v>
      </c>
      <c r="P61" s="65">
        <v>22400</v>
      </c>
      <c r="Q61" s="65">
        <v>23200</v>
      </c>
      <c r="R61" s="65">
        <v>24000</v>
      </c>
      <c r="S61" s="65">
        <v>24600</v>
      </c>
      <c r="T61" s="65">
        <v>25400</v>
      </c>
      <c r="U61" s="65">
        <v>25900</v>
      </c>
      <c r="V61" s="65">
        <v>26700</v>
      </c>
      <c r="W61" s="66">
        <f t="shared" si="0"/>
        <v>400</v>
      </c>
      <c r="X61" s="58"/>
      <c r="Y61" s="58"/>
      <c r="Z61" s="58"/>
      <c r="AA61" s="58"/>
      <c r="AB61" s="58"/>
    </row>
    <row r="62" spans="2:28" x14ac:dyDescent="0.35">
      <c r="C62" s="64">
        <v>57</v>
      </c>
      <c r="D62" s="65">
        <v>16100</v>
      </c>
      <c r="E62" s="65">
        <v>16600</v>
      </c>
      <c r="F62" s="65">
        <v>17400</v>
      </c>
      <c r="G62" s="65">
        <v>17700</v>
      </c>
      <c r="H62" s="65">
        <v>18000</v>
      </c>
      <c r="I62" s="65">
        <v>18600</v>
      </c>
      <c r="J62" s="65">
        <v>19300</v>
      </c>
      <c r="K62" s="65">
        <v>20000</v>
      </c>
      <c r="L62" s="65">
        <v>20800</v>
      </c>
      <c r="M62" s="65"/>
      <c r="N62" s="65">
        <v>22000</v>
      </c>
      <c r="O62" s="65">
        <v>21900</v>
      </c>
      <c r="P62" s="65">
        <v>22800</v>
      </c>
      <c r="Q62" s="65">
        <v>23500</v>
      </c>
      <c r="R62" s="65">
        <v>24400</v>
      </c>
      <c r="S62" s="65">
        <v>24900</v>
      </c>
      <c r="T62" s="65">
        <v>25800</v>
      </c>
      <c r="U62" s="65">
        <v>26300</v>
      </c>
      <c r="V62" s="65">
        <v>27100</v>
      </c>
      <c r="W62" s="66">
        <f t="shared" si="0"/>
        <v>400</v>
      </c>
      <c r="X62" s="58"/>
      <c r="Y62" s="58"/>
      <c r="Z62" s="58"/>
      <c r="AA62" s="58"/>
      <c r="AB62" s="58"/>
    </row>
    <row r="63" spans="2:28" x14ac:dyDescent="0.35">
      <c r="C63" s="64">
        <v>58</v>
      </c>
      <c r="D63" s="65">
        <v>16400</v>
      </c>
      <c r="E63" s="65">
        <v>16900</v>
      </c>
      <c r="F63" s="65">
        <v>17700</v>
      </c>
      <c r="G63" s="65">
        <v>18000</v>
      </c>
      <c r="H63" s="65">
        <v>18300</v>
      </c>
      <c r="I63" s="65">
        <v>18900</v>
      </c>
      <c r="J63" s="65">
        <v>19700</v>
      </c>
      <c r="K63" s="65">
        <v>20300</v>
      </c>
      <c r="L63" s="65">
        <v>21200</v>
      </c>
      <c r="M63" s="65"/>
      <c r="N63" s="65">
        <v>22400</v>
      </c>
      <c r="O63" s="65">
        <v>22300</v>
      </c>
      <c r="P63" s="65">
        <v>23200</v>
      </c>
      <c r="Q63" s="65">
        <v>23900</v>
      </c>
      <c r="R63" s="65">
        <v>24800</v>
      </c>
      <c r="S63" s="65">
        <v>25400</v>
      </c>
      <c r="T63" s="65">
        <v>26200</v>
      </c>
      <c r="U63" s="65">
        <v>26700</v>
      </c>
      <c r="V63" s="65">
        <v>27500</v>
      </c>
      <c r="W63" s="66">
        <f t="shared" si="0"/>
        <v>400</v>
      </c>
      <c r="X63" s="58"/>
      <c r="Y63" s="58"/>
      <c r="Z63" s="58"/>
      <c r="AA63" s="58"/>
      <c r="AB63" s="58"/>
    </row>
    <row r="64" spans="2:28" x14ac:dyDescent="0.35">
      <c r="C64" s="64">
        <v>59</v>
      </c>
      <c r="D64" s="65">
        <v>16700</v>
      </c>
      <c r="E64" s="65">
        <v>17200</v>
      </c>
      <c r="F64" s="65">
        <v>18000</v>
      </c>
      <c r="G64" s="65">
        <v>18400</v>
      </c>
      <c r="H64" s="65">
        <v>18600</v>
      </c>
      <c r="I64" s="65">
        <v>19300</v>
      </c>
      <c r="J64" s="65">
        <v>20000</v>
      </c>
      <c r="K64" s="65">
        <v>20700</v>
      </c>
      <c r="L64" s="65">
        <v>21600</v>
      </c>
      <c r="M64" s="65"/>
      <c r="N64" s="65">
        <v>22800</v>
      </c>
      <c r="O64" s="65">
        <v>22700</v>
      </c>
      <c r="P64" s="65">
        <v>23600</v>
      </c>
      <c r="Q64" s="65">
        <v>24300</v>
      </c>
      <c r="R64" s="65">
        <v>25200</v>
      </c>
      <c r="S64" s="65">
        <v>25800</v>
      </c>
      <c r="T64" s="65">
        <v>26700</v>
      </c>
      <c r="U64" s="65">
        <v>27100</v>
      </c>
      <c r="V64" s="65">
        <v>28000</v>
      </c>
      <c r="W64" s="66">
        <f t="shared" si="0"/>
        <v>500</v>
      </c>
      <c r="X64" s="58"/>
      <c r="Y64" s="58"/>
      <c r="Z64" s="58"/>
      <c r="AA64" s="58"/>
      <c r="AB64" s="58"/>
    </row>
    <row r="65" spans="3:28" x14ac:dyDescent="0.35">
      <c r="C65" s="64">
        <v>60</v>
      </c>
      <c r="D65" s="65">
        <v>17000</v>
      </c>
      <c r="E65" s="65">
        <v>17500</v>
      </c>
      <c r="F65" s="65">
        <v>18300</v>
      </c>
      <c r="G65" s="65">
        <v>18700</v>
      </c>
      <c r="H65" s="65">
        <v>19000</v>
      </c>
      <c r="I65" s="65">
        <v>19600</v>
      </c>
      <c r="J65" s="65">
        <v>20400</v>
      </c>
      <c r="K65" s="65">
        <v>21100</v>
      </c>
      <c r="L65" s="65">
        <v>22000</v>
      </c>
      <c r="M65" s="65"/>
      <c r="N65" s="65">
        <v>23200</v>
      </c>
      <c r="O65" s="65">
        <v>23100</v>
      </c>
      <c r="P65" s="65">
        <v>24000</v>
      </c>
      <c r="Q65" s="65">
        <v>24800</v>
      </c>
      <c r="R65" s="65">
        <v>25600</v>
      </c>
      <c r="S65" s="65">
        <v>26200</v>
      </c>
      <c r="T65" s="65">
        <v>27100</v>
      </c>
      <c r="U65" s="65">
        <v>27500</v>
      </c>
      <c r="V65" s="65">
        <v>28400</v>
      </c>
      <c r="W65" s="66">
        <f t="shared" si="0"/>
        <v>400</v>
      </c>
      <c r="X65" s="58"/>
      <c r="Y65" s="58"/>
      <c r="Z65" s="58"/>
      <c r="AA65" s="58"/>
      <c r="AB65" s="58"/>
    </row>
    <row r="66" spans="3:28" x14ac:dyDescent="0.35">
      <c r="C66" s="64">
        <v>61</v>
      </c>
      <c r="D66" s="65">
        <v>17300</v>
      </c>
      <c r="E66" s="65">
        <v>17800</v>
      </c>
      <c r="F66" s="65">
        <v>18600</v>
      </c>
      <c r="G66" s="65">
        <v>19000</v>
      </c>
      <c r="H66" s="65">
        <v>19300</v>
      </c>
      <c r="I66" s="65">
        <v>20000</v>
      </c>
      <c r="J66" s="65">
        <v>20700</v>
      </c>
      <c r="K66" s="65">
        <v>21500</v>
      </c>
      <c r="L66" s="65">
        <v>22400</v>
      </c>
      <c r="M66" s="65"/>
      <c r="N66" s="65">
        <v>23600</v>
      </c>
      <c r="O66" s="65">
        <v>23500</v>
      </c>
      <c r="P66" s="65">
        <v>24400</v>
      </c>
      <c r="Q66" s="65">
        <v>25200</v>
      </c>
      <c r="R66" s="65">
        <v>26100</v>
      </c>
      <c r="S66" s="65">
        <v>26600</v>
      </c>
      <c r="T66" s="65">
        <v>27500</v>
      </c>
      <c r="U66" s="65">
        <v>27900</v>
      </c>
      <c r="V66" s="65">
        <v>28900</v>
      </c>
      <c r="W66" s="66">
        <f t="shared" si="0"/>
        <v>500</v>
      </c>
      <c r="X66" s="58"/>
      <c r="Y66" s="58"/>
      <c r="Z66" s="58"/>
      <c r="AA66" s="58"/>
      <c r="AB66" s="58"/>
    </row>
    <row r="67" spans="3:28" x14ac:dyDescent="0.35">
      <c r="C67" s="64">
        <v>62</v>
      </c>
      <c r="D67" s="65">
        <v>17600</v>
      </c>
      <c r="E67" s="65">
        <v>18100</v>
      </c>
      <c r="F67" s="65">
        <v>19000</v>
      </c>
      <c r="G67" s="65">
        <v>19400</v>
      </c>
      <c r="H67" s="65">
        <v>19700</v>
      </c>
      <c r="I67" s="65">
        <v>20300</v>
      </c>
      <c r="J67" s="65">
        <v>21100</v>
      </c>
      <c r="K67" s="65">
        <v>21900</v>
      </c>
      <c r="L67" s="65">
        <v>22900</v>
      </c>
      <c r="M67" s="65"/>
      <c r="N67" s="65">
        <v>24000</v>
      </c>
      <c r="O67" s="65">
        <v>23900</v>
      </c>
      <c r="P67" s="65">
        <v>24900</v>
      </c>
      <c r="Q67" s="65">
        <v>25600</v>
      </c>
      <c r="R67" s="65">
        <v>26500</v>
      </c>
      <c r="S67" s="65">
        <v>27100</v>
      </c>
      <c r="T67" s="65">
        <v>28000</v>
      </c>
      <c r="U67" s="65">
        <v>28400</v>
      </c>
      <c r="V67" s="65">
        <v>29300</v>
      </c>
      <c r="W67" s="66">
        <f t="shared" si="0"/>
        <v>400</v>
      </c>
      <c r="X67" s="58"/>
      <c r="Y67" s="58"/>
      <c r="Z67" s="58"/>
      <c r="AA67" s="58"/>
      <c r="AB67" s="58"/>
    </row>
    <row r="68" spans="3:28" x14ac:dyDescent="0.35">
      <c r="C68" s="64">
        <v>63</v>
      </c>
      <c r="D68" s="65">
        <v>17900</v>
      </c>
      <c r="E68" s="65">
        <v>18400</v>
      </c>
      <c r="F68" s="65">
        <v>19300</v>
      </c>
      <c r="G68" s="65">
        <v>19700</v>
      </c>
      <c r="H68" s="65">
        <v>20000</v>
      </c>
      <c r="I68" s="65">
        <v>20700</v>
      </c>
      <c r="J68" s="65">
        <v>21600</v>
      </c>
      <c r="K68" s="65">
        <v>22300</v>
      </c>
      <c r="L68" s="65">
        <v>23300</v>
      </c>
      <c r="M68" s="65"/>
      <c r="N68" s="65">
        <v>24400</v>
      </c>
      <c r="O68" s="65">
        <v>24400</v>
      </c>
      <c r="P68" s="65">
        <v>25300</v>
      </c>
      <c r="Q68" s="65">
        <v>26100</v>
      </c>
      <c r="R68" s="65">
        <v>27000</v>
      </c>
      <c r="S68" s="65">
        <v>27500</v>
      </c>
      <c r="T68" s="65">
        <v>28500</v>
      </c>
      <c r="U68" s="65">
        <v>28800</v>
      </c>
      <c r="V68" s="65">
        <v>29800</v>
      </c>
      <c r="W68" s="66">
        <f t="shared" si="0"/>
        <v>500</v>
      </c>
      <c r="X68" s="58"/>
      <c r="Y68" s="58"/>
      <c r="Z68" s="58"/>
      <c r="AA68" s="58"/>
      <c r="AB68" s="58"/>
    </row>
    <row r="69" spans="3:28" x14ac:dyDescent="0.35">
      <c r="C69" s="64">
        <v>64</v>
      </c>
      <c r="D69" s="65">
        <v>18200</v>
      </c>
      <c r="E69" s="65">
        <v>18700</v>
      </c>
      <c r="F69" s="65">
        <v>19700</v>
      </c>
      <c r="G69" s="65">
        <v>20000</v>
      </c>
      <c r="H69" s="65">
        <v>20400</v>
      </c>
      <c r="I69" s="65">
        <v>21100</v>
      </c>
      <c r="J69" s="65">
        <v>22000</v>
      </c>
      <c r="K69" s="65">
        <v>22700</v>
      </c>
      <c r="L69" s="65">
        <v>23700</v>
      </c>
      <c r="M69" s="65"/>
      <c r="N69" s="65">
        <v>24900</v>
      </c>
      <c r="O69" s="65">
        <v>24800</v>
      </c>
      <c r="P69" s="65">
        <v>25800</v>
      </c>
      <c r="Q69" s="65">
        <v>26500</v>
      </c>
      <c r="R69" s="65">
        <v>27500</v>
      </c>
      <c r="S69" s="65">
        <v>28000</v>
      </c>
      <c r="T69" s="65">
        <v>29000</v>
      </c>
      <c r="U69" s="65">
        <v>29300</v>
      </c>
      <c r="V69" s="65">
        <v>30300</v>
      </c>
      <c r="W69" s="66">
        <f t="shared" si="0"/>
        <v>500</v>
      </c>
      <c r="X69" s="58"/>
      <c r="Y69" s="58"/>
      <c r="Z69" s="58"/>
      <c r="AA69" s="58"/>
      <c r="AB69" s="58"/>
    </row>
    <row r="70" spans="3:28" x14ac:dyDescent="0.35">
      <c r="C70" s="64">
        <v>65</v>
      </c>
      <c r="D70" s="65">
        <v>18500</v>
      </c>
      <c r="E70" s="65">
        <v>19100</v>
      </c>
      <c r="F70" s="65">
        <v>20000</v>
      </c>
      <c r="G70" s="65">
        <v>20400</v>
      </c>
      <c r="H70" s="65">
        <v>20700</v>
      </c>
      <c r="I70" s="65">
        <v>21500</v>
      </c>
      <c r="J70" s="65">
        <v>22400</v>
      </c>
      <c r="K70" s="65">
        <v>23200</v>
      </c>
      <c r="L70" s="65">
        <v>24200</v>
      </c>
      <c r="M70" s="65"/>
      <c r="N70" s="65">
        <v>25300</v>
      </c>
      <c r="O70" s="65">
        <v>25300</v>
      </c>
      <c r="P70" s="65">
        <v>26300</v>
      </c>
      <c r="Q70" s="65">
        <v>27000</v>
      </c>
      <c r="R70" s="65">
        <v>27900</v>
      </c>
      <c r="S70" s="65">
        <v>28500</v>
      </c>
      <c r="T70" s="65">
        <v>29500</v>
      </c>
      <c r="U70" s="65">
        <v>29800</v>
      </c>
      <c r="V70" s="65">
        <v>30800</v>
      </c>
      <c r="W70" s="66">
        <f t="shared" si="0"/>
        <v>500</v>
      </c>
      <c r="X70" s="58"/>
      <c r="Y70" s="58"/>
      <c r="Z70" s="58"/>
      <c r="AA70" s="58"/>
      <c r="AB70" s="58"/>
    </row>
    <row r="71" spans="3:28" x14ac:dyDescent="0.35">
      <c r="C71" s="64">
        <v>66</v>
      </c>
      <c r="D71" s="65">
        <v>18800</v>
      </c>
      <c r="E71" s="65">
        <v>19400</v>
      </c>
      <c r="F71" s="65">
        <v>20400</v>
      </c>
      <c r="G71" s="65">
        <v>20800</v>
      </c>
      <c r="H71" s="65">
        <v>21100</v>
      </c>
      <c r="I71" s="65">
        <v>21900</v>
      </c>
      <c r="J71" s="65">
        <v>22800</v>
      </c>
      <c r="K71" s="65">
        <v>23600</v>
      </c>
      <c r="L71" s="65">
        <v>24600</v>
      </c>
      <c r="M71" s="65"/>
      <c r="N71" s="65">
        <v>25800</v>
      </c>
      <c r="O71" s="65">
        <v>25800</v>
      </c>
      <c r="P71" s="65">
        <v>26800</v>
      </c>
      <c r="Q71" s="65">
        <v>27500</v>
      </c>
      <c r="R71" s="65">
        <v>28400</v>
      </c>
      <c r="S71" s="65">
        <v>29000</v>
      </c>
      <c r="T71" s="65">
        <v>30000</v>
      </c>
      <c r="U71" s="65">
        <v>30300</v>
      </c>
      <c r="V71" s="65">
        <v>31300</v>
      </c>
      <c r="W71" s="66">
        <f t="shared" si="0"/>
        <v>500</v>
      </c>
      <c r="X71" s="58"/>
      <c r="Y71" s="58"/>
      <c r="Z71" s="58"/>
      <c r="AA71" s="58"/>
      <c r="AB71" s="58"/>
    </row>
    <row r="72" spans="3:28" x14ac:dyDescent="0.35">
      <c r="C72" s="64">
        <v>67</v>
      </c>
      <c r="D72" s="65">
        <v>19200</v>
      </c>
      <c r="E72" s="65">
        <v>19700</v>
      </c>
      <c r="F72" s="65">
        <v>20800</v>
      </c>
      <c r="G72" s="65">
        <v>21100</v>
      </c>
      <c r="H72" s="65">
        <v>21500</v>
      </c>
      <c r="I72" s="65">
        <v>22300</v>
      </c>
      <c r="J72" s="65">
        <v>23300</v>
      </c>
      <c r="K72" s="65">
        <v>24100</v>
      </c>
      <c r="L72" s="65">
        <v>25100</v>
      </c>
      <c r="M72" s="65"/>
      <c r="N72" s="65">
        <v>26300</v>
      </c>
      <c r="O72" s="65">
        <v>26300</v>
      </c>
      <c r="P72" s="65">
        <v>27300</v>
      </c>
      <c r="Q72" s="65">
        <v>28100</v>
      </c>
      <c r="R72" s="65">
        <v>29000</v>
      </c>
      <c r="S72" s="65">
        <v>29500</v>
      </c>
      <c r="T72" s="65">
        <v>30500</v>
      </c>
      <c r="U72" s="65">
        <v>30900</v>
      </c>
      <c r="V72" s="65">
        <v>31900</v>
      </c>
      <c r="W72" s="66">
        <f t="shared" ref="W72:W104" si="1">V72-V71</f>
        <v>600</v>
      </c>
      <c r="X72" s="58"/>
      <c r="Y72" s="58"/>
      <c r="Z72" s="58"/>
      <c r="AA72" s="58"/>
      <c r="AB72" s="58"/>
    </row>
    <row r="73" spans="3:28" x14ac:dyDescent="0.35">
      <c r="C73" s="64">
        <v>68</v>
      </c>
      <c r="D73" s="65">
        <v>19500</v>
      </c>
      <c r="E73" s="65">
        <v>20100</v>
      </c>
      <c r="F73" s="65">
        <v>21200</v>
      </c>
      <c r="G73" s="65">
        <v>21500</v>
      </c>
      <c r="H73" s="65">
        <v>21900</v>
      </c>
      <c r="I73" s="65">
        <v>22700</v>
      </c>
      <c r="J73" s="65">
        <v>23700</v>
      </c>
      <c r="K73" s="65">
        <v>24500</v>
      </c>
      <c r="L73" s="65">
        <v>25600</v>
      </c>
      <c r="M73" s="65"/>
      <c r="N73" s="65">
        <v>26800</v>
      </c>
      <c r="O73" s="65">
        <v>26800</v>
      </c>
      <c r="P73" s="65">
        <v>27800</v>
      </c>
      <c r="Q73" s="65">
        <v>28600</v>
      </c>
      <c r="R73" s="65">
        <v>29500</v>
      </c>
      <c r="S73" s="65">
        <v>30100</v>
      </c>
      <c r="T73" s="65">
        <v>31100</v>
      </c>
      <c r="U73" s="65">
        <v>31500</v>
      </c>
      <c r="V73" s="65">
        <v>32400</v>
      </c>
      <c r="W73" s="66">
        <f t="shared" si="1"/>
        <v>500</v>
      </c>
      <c r="X73" s="58"/>
      <c r="Y73" s="58"/>
      <c r="Z73" s="58"/>
      <c r="AA73" s="58"/>
      <c r="AB73" s="58"/>
    </row>
    <row r="74" spans="3:28" x14ac:dyDescent="0.35">
      <c r="C74" s="64">
        <v>69</v>
      </c>
      <c r="D74" s="65">
        <v>19900</v>
      </c>
      <c r="E74" s="65">
        <v>20500</v>
      </c>
      <c r="F74" s="65">
        <v>21600</v>
      </c>
      <c r="G74" s="65">
        <v>22000</v>
      </c>
      <c r="H74" s="65">
        <v>22300</v>
      </c>
      <c r="I74" s="65">
        <v>23100</v>
      </c>
      <c r="J74" s="65">
        <v>24200</v>
      </c>
      <c r="K74" s="65">
        <v>25000</v>
      </c>
      <c r="L74" s="65">
        <v>26100</v>
      </c>
      <c r="M74" s="65"/>
      <c r="N74" s="65">
        <v>27300</v>
      </c>
      <c r="O74" s="65">
        <v>27300</v>
      </c>
      <c r="P74" s="65">
        <v>28400</v>
      </c>
      <c r="Q74" s="65">
        <v>29100</v>
      </c>
      <c r="R74" s="65">
        <v>30000</v>
      </c>
      <c r="S74" s="65">
        <v>30700</v>
      </c>
      <c r="T74" s="65">
        <v>31700</v>
      </c>
      <c r="U74" s="65">
        <v>32000</v>
      </c>
      <c r="V74" s="65">
        <v>33000</v>
      </c>
      <c r="W74" s="66">
        <f t="shared" si="1"/>
        <v>600</v>
      </c>
      <c r="X74" s="58"/>
      <c r="Y74" s="58"/>
      <c r="Z74" s="58"/>
      <c r="AA74" s="58"/>
      <c r="AB74" s="58"/>
    </row>
    <row r="75" spans="3:28" x14ac:dyDescent="0.35">
      <c r="C75" s="64">
        <v>70</v>
      </c>
      <c r="D75" s="65">
        <v>20200</v>
      </c>
      <c r="E75" s="65">
        <v>20900</v>
      </c>
      <c r="F75" s="65">
        <v>22000</v>
      </c>
      <c r="G75" s="65">
        <v>22400</v>
      </c>
      <c r="H75" s="65">
        <v>22700</v>
      </c>
      <c r="I75" s="65">
        <v>23600</v>
      </c>
      <c r="J75" s="65">
        <v>24700</v>
      </c>
      <c r="K75" s="65">
        <v>25500</v>
      </c>
      <c r="L75" s="65">
        <v>26600</v>
      </c>
      <c r="M75" s="65"/>
      <c r="N75" s="65">
        <v>27900</v>
      </c>
      <c r="O75" s="65">
        <v>27900</v>
      </c>
      <c r="P75" s="65">
        <v>29000</v>
      </c>
      <c r="Q75" s="65">
        <v>29700</v>
      </c>
      <c r="R75" s="65">
        <v>30600</v>
      </c>
      <c r="S75" s="65">
        <v>31300</v>
      </c>
      <c r="T75" s="65">
        <v>32300</v>
      </c>
      <c r="U75" s="65">
        <v>32600</v>
      </c>
      <c r="V75" s="65">
        <v>33600</v>
      </c>
      <c r="W75" s="66">
        <f t="shared" si="1"/>
        <v>600</v>
      </c>
      <c r="X75" s="58"/>
      <c r="Y75" s="58"/>
      <c r="Z75" s="58"/>
      <c r="AA75" s="58"/>
      <c r="AB75" s="58"/>
    </row>
    <row r="76" spans="3:28" x14ac:dyDescent="0.35">
      <c r="C76" s="64">
        <v>71</v>
      </c>
      <c r="D76" s="65">
        <v>20600</v>
      </c>
      <c r="E76" s="65">
        <v>21300</v>
      </c>
      <c r="F76" s="65">
        <v>22400</v>
      </c>
      <c r="G76" s="65">
        <v>22800</v>
      </c>
      <c r="H76" s="65">
        <v>23200</v>
      </c>
      <c r="I76" s="65">
        <v>24000</v>
      </c>
      <c r="J76" s="65">
        <v>25200</v>
      </c>
      <c r="K76" s="65">
        <v>26000</v>
      </c>
      <c r="L76" s="65">
        <v>27200</v>
      </c>
      <c r="M76" s="65"/>
      <c r="N76" s="65">
        <v>28500</v>
      </c>
      <c r="O76" s="65">
        <v>28500</v>
      </c>
      <c r="P76" s="65">
        <v>29500</v>
      </c>
      <c r="Q76" s="65">
        <v>30300</v>
      </c>
      <c r="R76" s="65">
        <v>31200</v>
      </c>
      <c r="S76" s="65">
        <v>31900</v>
      </c>
      <c r="T76" s="65">
        <v>32900</v>
      </c>
      <c r="U76" s="65">
        <v>33200</v>
      </c>
      <c r="V76" s="65">
        <v>34200</v>
      </c>
      <c r="W76" s="66">
        <f t="shared" si="1"/>
        <v>600</v>
      </c>
      <c r="X76" s="58"/>
      <c r="Y76" s="58"/>
      <c r="Z76" s="58"/>
      <c r="AA76" s="58"/>
      <c r="AB76" s="58"/>
    </row>
    <row r="77" spans="3:28" x14ac:dyDescent="0.35">
      <c r="C77" s="64">
        <v>72</v>
      </c>
      <c r="D77" s="65">
        <v>21000</v>
      </c>
      <c r="E77" s="65">
        <v>21600</v>
      </c>
      <c r="F77" s="65">
        <v>22900</v>
      </c>
      <c r="G77" s="65">
        <v>23200</v>
      </c>
      <c r="H77" s="65">
        <v>23600</v>
      </c>
      <c r="I77" s="65">
        <v>24500</v>
      </c>
      <c r="J77" s="65">
        <v>25700</v>
      </c>
      <c r="K77" s="65">
        <v>26600</v>
      </c>
      <c r="L77" s="65">
        <v>27700</v>
      </c>
      <c r="M77" s="65"/>
      <c r="N77" s="65">
        <v>29100</v>
      </c>
      <c r="O77" s="65">
        <v>29000</v>
      </c>
      <c r="P77" s="65">
        <v>30100</v>
      </c>
      <c r="Q77" s="65">
        <v>30900</v>
      </c>
      <c r="R77" s="65">
        <v>31900</v>
      </c>
      <c r="S77" s="65">
        <v>32500</v>
      </c>
      <c r="T77" s="65">
        <v>33500</v>
      </c>
      <c r="U77" s="65">
        <v>33900</v>
      </c>
      <c r="V77" s="65">
        <v>34900</v>
      </c>
      <c r="W77" s="66">
        <f t="shared" si="1"/>
        <v>700</v>
      </c>
      <c r="X77" s="58"/>
      <c r="Y77" s="58"/>
      <c r="Z77" s="58"/>
      <c r="AA77" s="58"/>
      <c r="AB77" s="58"/>
    </row>
    <row r="78" spans="3:28" x14ac:dyDescent="0.35">
      <c r="C78" s="64">
        <v>73</v>
      </c>
      <c r="D78" s="65">
        <v>21400</v>
      </c>
      <c r="E78" s="65">
        <v>22100</v>
      </c>
      <c r="F78" s="65">
        <v>23300</v>
      </c>
      <c r="G78" s="65">
        <v>23700</v>
      </c>
      <c r="H78" s="65">
        <v>24100</v>
      </c>
      <c r="I78" s="65">
        <v>25000</v>
      </c>
      <c r="J78" s="65">
        <v>26300</v>
      </c>
      <c r="K78" s="65">
        <v>27200</v>
      </c>
      <c r="L78" s="65">
        <v>28300</v>
      </c>
      <c r="M78" s="65"/>
      <c r="N78" s="65">
        <v>29700</v>
      </c>
      <c r="O78" s="65">
        <v>29600</v>
      </c>
      <c r="P78" s="65">
        <v>30800</v>
      </c>
      <c r="Q78" s="65">
        <v>31500</v>
      </c>
      <c r="R78" s="65">
        <v>32500</v>
      </c>
      <c r="S78" s="65">
        <v>33200</v>
      </c>
      <c r="T78" s="65">
        <v>34200</v>
      </c>
      <c r="U78" s="65">
        <v>34500</v>
      </c>
      <c r="V78" s="65">
        <v>35600</v>
      </c>
      <c r="W78" s="66">
        <f t="shared" si="1"/>
        <v>700</v>
      </c>
      <c r="X78" s="58"/>
      <c r="Y78" s="58"/>
      <c r="Z78" s="58"/>
      <c r="AA78" s="58"/>
      <c r="AB78" s="58"/>
    </row>
    <row r="79" spans="3:28" x14ac:dyDescent="0.35">
      <c r="C79" s="64">
        <v>74</v>
      </c>
      <c r="D79" s="65">
        <v>21900</v>
      </c>
      <c r="E79" s="65">
        <v>22600</v>
      </c>
      <c r="F79" s="65">
        <v>23800</v>
      </c>
      <c r="G79" s="65">
        <v>24200</v>
      </c>
      <c r="H79" s="65">
        <v>24600</v>
      </c>
      <c r="I79" s="65">
        <v>25600</v>
      </c>
      <c r="J79" s="65">
        <v>26800</v>
      </c>
      <c r="K79" s="65">
        <v>27800</v>
      </c>
      <c r="L79" s="65">
        <v>28900</v>
      </c>
      <c r="M79" s="65"/>
      <c r="N79" s="65">
        <v>30300</v>
      </c>
      <c r="O79" s="65">
        <v>30200</v>
      </c>
      <c r="P79" s="65">
        <v>31400</v>
      </c>
      <c r="Q79" s="65">
        <v>32200</v>
      </c>
      <c r="R79" s="65">
        <v>33200</v>
      </c>
      <c r="S79" s="65">
        <v>33800</v>
      </c>
      <c r="T79" s="65">
        <v>34900</v>
      </c>
      <c r="U79" s="65">
        <v>35200</v>
      </c>
      <c r="V79" s="65">
        <v>36200</v>
      </c>
      <c r="W79" s="66">
        <f t="shared" si="1"/>
        <v>600</v>
      </c>
      <c r="X79" s="58"/>
      <c r="Y79" s="58"/>
      <c r="Z79" s="58"/>
      <c r="AA79" s="58"/>
      <c r="AB79" s="58"/>
    </row>
    <row r="80" spans="3:28" x14ac:dyDescent="0.35">
      <c r="C80" s="64">
        <v>75</v>
      </c>
      <c r="D80" s="65">
        <v>22300</v>
      </c>
      <c r="E80" s="65">
        <v>23000</v>
      </c>
      <c r="F80" s="65">
        <v>24300</v>
      </c>
      <c r="G80" s="65">
        <v>24700</v>
      </c>
      <c r="H80" s="65">
        <v>25100</v>
      </c>
      <c r="I80" s="65">
        <v>26100</v>
      </c>
      <c r="J80" s="65">
        <v>27400</v>
      </c>
      <c r="K80" s="65">
        <v>28400</v>
      </c>
      <c r="L80" s="65">
        <v>29500</v>
      </c>
      <c r="M80" s="65"/>
      <c r="N80" s="65">
        <v>30900</v>
      </c>
      <c r="O80" s="65">
        <v>30900</v>
      </c>
      <c r="P80" s="65">
        <v>32100</v>
      </c>
      <c r="Q80" s="65">
        <v>32900</v>
      </c>
      <c r="R80" s="65">
        <v>33900</v>
      </c>
      <c r="S80" s="65">
        <v>34500</v>
      </c>
      <c r="T80" s="65">
        <v>35600</v>
      </c>
      <c r="U80" s="65">
        <v>36000</v>
      </c>
      <c r="V80" s="65">
        <v>37000</v>
      </c>
      <c r="W80" s="66">
        <f t="shared" si="1"/>
        <v>800</v>
      </c>
      <c r="X80" s="58"/>
      <c r="Y80" s="58"/>
      <c r="Z80" s="58"/>
      <c r="AA80" s="58"/>
      <c r="AB80" s="58"/>
    </row>
    <row r="81" spans="3:28" x14ac:dyDescent="0.35">
      <c r="C81" s="64">
        <v>76</v>
      </c>
      <c r="D81" s="65">
        <v>22800</v>
      </c>
      <c r="E81" s="65">
        <v>23500</v>
      </c>
      <c r="F81" s="65">
        <v>24800</v>
      </c>
      <c r="G81" s="65">
        <v>25200</v>
      </c>
      <c r="H81" s="65">
        <v>25600</v>
      </c>
      <c r="I81" s="65">
        <v>26700</v>
      </c>
      <c r="J81" s="65">
        <v>28100</v>
      </c>
      <c r="K81" s="65">
        <v>29000</v>
      </c>
      <c r="L81" s="65">
        <v>30200</v>
      </c>
      <c r="M81" s="65"/>
      <c r="N81" s="65">
        <v>31600</v>
      </c>
      <c r="O81" s="65">
        <v>31600</v>
      </c>
      <c r="P81" s="65">
        <v>32800</v>
      </c>
      <c r="Q81" s="65">
        <v>33600</v>
      </c>
      <c r="R81" s="65">
        <v>34600</v>
      </c>
      <c r="S81" s="65">
        <v>35200</v>
      </c>
      <c r="T81" s="65">
        <v>36300</v>
      </c>
      <c r="U81" s="65">
        <v>36700</v>
      </c>
      <c r="V81" s="65">
        <v>37800</v>
      </c>
      <c r="W81" s="66">
        <f t="shared" si="1"/>
        <v>800</v>
      </c>
      <c r="X81" s="58"/>
      <c r="Y81" s="58"/>
      <c r="Z81" s="58"/>
      <c r="AA81" s="58"/>
      <c r="AB81" s="58"/>
    </row>
    <row r="82" spans="3:28" x14ac:dyDescent="0.35">
      <c r="C82" s="64">
        <v>77</v>
      </c>
      <c r="D82" s="65">
        <v>23300</v>
      </c>
      <c r="E82" s="65">
        <v>24000</v>
      </c>
      <c r="F82" s="65">
        <v>25400</v>
      </c>
      <c r="G82" s="65">
        <v>25700</v>
      </c>
      <c r="H82" s="65">
        <v>26100</v>
      </c>
      <c r="I82" s="65">
        <v>27400</v>
      </c>
      <c r="J82" s="65">
        <v>28700</v>
      </c>
      <c r="K82" s="65">
        <v>29700</v>
      </c>
      <c r="L82" s="65">
        <v>30900</v>
      </c>
      <c r="M82" s="65"/>
      <c r="N82" s="65">
        <v>32300</v>
      </c>
      <c r="O82" s="65">
        <v>32300</v>
      </c>
      <c r="P82" s="65">
        <v>33600</v>
      </c>
      <c r="Q82" s="65">
        <v>34300</v>
      </c>
      <c r="R82" s="65">
        <v>35300</v>
      </c>
      <c r="S82" s="65">
        <v>35900</v>
      </c>
      <c r="T82" s="65">
        <v>37100</v>
      </c>
      <c r="U82" s="65">
        <v>37500</v>
      </c>
      <c r="V82" s="65">
        <v>38500</v>
      </c>
      <c r="W82" s="66">
        <f t="shared" si="1"/>
        <v>700</v>
      </c>
      <c r="X82" s="58"/>
      <c r="Y82" s="58"/>
      <c r="Z82" s="58"/>
      <c r="AA82" s="58"/>
      <c r="AB82" s="58"/>
    </row>
    <row r="83" spans="3:28" x14ac:dyDescent="0.35">
      <c r="C83" s="64">
        <v>78</v>
      </c>
      <c r="D83" s="65">
        <v>23800</v>
      </c>
      <c r="E83" s="65">
        <v>24500</v>
      </c>
      <c r="F83" s="65">
        <v>25900</v>
      </c>
      <c r="G83" s="65">
        <v>26200</v>
      </c>
      <c r="H83" s="65">
        <v>26700</v>
      </c>
      <c r="I83" s="65">
        <v>28000</v>
      </c>
      <c r="J83" s="65">
        <v>29400</v>
      </c>
      <c r="K83" s="65">
        <v>30300</v>
      </c>
      <c r="L83" s="65">
        <v>31600</v>
      </c>
      <c r="M83" s="65"/>
      <c r="N83" s="65">
        <v>33100</v>
      </c>
      <c r="O83" s="65">
        <v>33100</v>
      </c>
      <c r="P83" s="65">
        <v>34400</v>
      </c>
      <c r="Q83" s="65">
        <v>35100</v>
      </c>
      <c r="R83" s="65">
        <v>36100</v>
      </c>
      <c r="S83" s="65">
        <v>36800</v>
      </c>
      <c r="T83" s="65">
        <v>37900</v>
      </c>
      <c r="U83" s="65">
        <v>38300</v>
      </c>
      <c r="V83" s="65">
        <v>39400</v>
      </c>
      <c r="W83" s="66">
        <f t="shared" si="1"/>
        <v>900</v>
      </c>
      <c r="X83" s="58"/>
      <c r="Y83" s="58"/>
      <c r="Z83" s="58"/>
      <c r="AA83" s="58"/>
      <c r="AB83" s="58"/>
    </row>
    <row r="84" spans="3:28" x14ac:dyDescent="0.35">
      <c r="C84" s="64">
        <v>79</v>
      </c>
      <c r="D84" s="65">
        <v>24300</v>
      </c>
      <c r="E84" s="65">
        <v>25100</v>
      </c>
      <c r="F84" s="65">
        <v>26500</v>
      </c>
      <c r="G84" s="65">
        <v>26800</v>
      </c>
      <c r="H84" s="65">
        <v>27300</v>
      </c>
      <c r="I84" s="65">
        <v>28700</v>
      </c>
      <c r="J84" s="65">
        <v>30100</v>
      </c>
      <c r="K84" s="65">
        <v>31000</v>
      </c>
      <c r="L84" s="65">
        <v>32400</v>
      </c>
      <c r="M84" s="65"/>
      <c r="N84" s="65">
        <v>33900</v>
      </c>
      <c r="O84" s="65">
        <v>33900</v>
      </c>
      <c r="P84" s="65">
        <v>35200</v>
      </c>
      <c r="Q84" s="65">
        <v>35900</v>
      </c>
      <c r="R84" s="65">
        <v>37000</v>
      </c>
      <c r="S84" s="65">
        <v>37600</v>
      </c>
      <c r="T84" s="65">
        <v>38800</v>
      </c>
      <c r="U84" s="65">
        <v>39200</v>
      </c>
      <c r="V84" s="65">
        <v>40200</v>
      </c>
      <c r="W84" s="66">
        <f t="shared" si="1"/>
        <v>800</v>
      </c>
      <c r="X84" s="58"/>
      <c r="Y84" s="58"/>
      <c r="Z84" s="58"/>
      <c r="AA84" s="58"/>
      <c r="AB84" s="58"/>
    </row>
    <row r="85" spans="3:28" x14ac:dyDescent="0.35">
      <c r="C85" s="64">
        <v>80</v>
      </c>
      <c r="D85" s="65">
        <v>24900</v>
      </c>
      <c r="E85" s="65">
        <v>25600</v>
      </c>
      <c r="F85" s="65">
        <v>27100</v>
      </c>
      <c r="G85" s="65">
        <v>27500</v>
      </c>
      <c r="H85" s="65">
        <v>27900</v>
      </c>
      <c r="I85" s="65">
        <v>29300</v>
      </c>
      <c r="J85" s="65">
        <v>30800</v>
      </c>
      <c r="K85" s="65">
        <v>31800</v>
      </c>
      <c r="L85" s="65">
        <v>33200</v>
      </c>
      <c r="M85" s="65"/>
      <c r="N85" s="65">
        <v>34700</v>
      </c>
      <c r="O85" s="65">
        <v>34800</v>
      </c>
      <c r="P85" s="65">
        <v>36000</v>
      </c>
      <c r="Q85" s="65">
        <v>36700</v>
      </c>
      <c r="R85" s="65">
        <v>37900</v>
      </c>
      <c r="S85" s="65">
        <v>38500</v>
      </c>
      <c r="T85" s="65">
        <v>39700</v>
      </c>
      <c r="U85" s="65">
        <v>40000</v>
      </c>
      <c r="V85" s="65">
        <v>41100</v>
      </c>
      <c r="W85" s="66">
        <f t="shared" si="1"/>
        <v>900</v>
      </c>
      <c r="X85" s="58"/>
      <c r="Y85" s="58"/>
      <c r="Z85" s="58"/>
      <c r="AA85" s="58"/>
      <c r="AB85" s="58"/>
    </row>
    <row r="86" spans="3:28" x14ac:dyDescent="0.35">
      <c r="C86" s="64">
        <v>81</v>
      </c>
      <c r="D86" s="65">
        <v>25400</v>
      </c>
      <c r="E86" s="65">
        <v>26200</v>
      </c>
      <c r="F86" s="65">
        <v>27800</v>
      </c>
      <c r="G86" s="65">
        <v>28100</v>
      </c>
      <c r="H86" s="65">
        <v>28500</v>
      </c>
      <c r="I86" s="65">
        <v>30000</v>
      </c>
      <c r="J86" s="65">
        <v>31500</v>
      </c>
      <c r="K86" s="65">
        <v>32600</v>
      </c>
      <c r="L86" s="65">
        <v>34100</v>
      </c>
      <c r="M86" s="65"/>
      <c r="N86" s="65">
        <v>35600</v>
      </c>
      <c r="O86" s="65">
        <v>35600</v>
      </c>
      <c r="P86" s="65">
        <v>36900</v>
      </c>
      <c r="Q86" s="65">
        <v>37700</v>
      </c>
      <c r="R86" s="65">
        <v>38800</v>
      </c>
      <c r="S86" s="65">
        <v>39400</v>
      </c>
      <c r="T86" s="65">
        <v>40600</v>
      </c>
      <c r="U86" s="65">
        <v>41000</v>
      </c>
      <c r="V86" s="65">
        <v>42100</v>
      </c>
      <c r="W86" s="66">
        <f t="shared" si="1"/>
        <v>1000</v>
      </c>
      <c r="X86" s="58"/>
      <c r="Y86" s="58"/>
      <c r="Z86" s="58"/>
      <c r="AA86" s="58"/>
      <c r="AB86" s="58"/>
    </row>
    <row r="87" spans="3:28" x14ac:dyDescent="0.35">
      <c r="C87" s="64">
        <v>82</v>
      </c>
      <c r="D87" s="65">
        <v>26000</v>
      </c>
      <c r="E87" s="65">
        <v>26800</v>
      </c>
      <c r="F87" s="65">
        <v>28400</v>
      </c>
      <c r="G87" s="65">
        <v>28800</v>
      </c>
      <c r="H87" s="65">
        <v>29200</v>
      </c>
      <c r="I87" s="65">
        <v>30800</v>
      </c>
      <c r="J87" s="65">
        <v>32400</v>
      </c>
      <c r="K87" s="65">
        <v>33500</v>
      </c>
      <c r="L87" s="65">
        <v>35000</v>
      </c>
      <c r="M87" s="65"/>
      <c r="N87" s="65">
        <v>36500</v>
      </c>
      <c r="O87" s="65">
        <v>36500</v>
      </c>
      <c r="P87" s="65">
        <v>37900</v>
      </c>
      <c r="Q87" s="65">
        <v>38700</v>
      </c>
      <c r="R87" s="65">
        <v>39800</v>
      </c>
      <c r="S87" s="65">
        <v>40400</v>
      </c>
      <c r="T87" s="65">
        <v>41500</v>
      </c>
      <c r="U87" s="65">
        <v>42000</v>
      </c>
      <c r="V87" s="65">
        <v>43100</v>
      </c>
      <c r="W87" s="66">
        <f t="shared" si="1"/>
        <v>1000</v>
      </c>
      <c r="X87" s="58"/>
      <c r="Y87" s="58"/>
      <c r="Z87" s="58"/>
      <c r="AA87" s="58"/>
      <c r="AB87" s="58"/>
    </row>
    <row r="88" spans="3:28" x14ac:dyDescent="0.35">
      <c r="C88" s="64">
        <v>83</v>
      </c>
      <c r="D88" s="65">
        <v>26700</v>
      </c>
      <c r="E88" s="65">
        <v>27500</v>
      </c>
      <c r="F88" s="65">
        <v>29100</v>
      </c>
      <c r="G88" s="65">
        <v>29500</v>
      </c>
      <c r="H88" s="65">
        <v>30000</v>
      </c>
      <c r="I88" s="65">
        <v>31500</v>
      </c>
      <c r="J88" s="65">
        <v>33300</v>
      </c>
      <c r="K88" s="65">
        <v>34400</v>
      </c>
      <c r="L88" s="65">
        <v>35900</v>
      </c>
      <c r="M88" s="65"/>
      <c r="N88" s="65">
        <v>37500</v>
      </c>
      <c r="O88" s="65">
        <v>37500</v>
      </c>
      <c r="P88" s="65">
        <v>39000</v>
      </c>
      <c r="Q88" s="65">
        <v>39700</v>
      </c>
      <c r="R88" s="65">
        <v>40700</v>
      </c>
      <c r="S88" s="65">
        <v>41300</v>
      </c>
      <c r="T88" s="65">
        <v>42300</v>
      </c>
      <c r="U88" s="65">
        <v>42900</v>
      </c>
      <c r="V88" s="65">
        <v>44100</v>
      </c>
      <c r="W88" s="66">
        <f t="shared" si="1"/>
        <v>1000</v>
      </c>
      <c r="X88" s="58"/>
      <c r="Y88" s="58"/>
      <c r="Z88" s="58"/>
      <c r="AA88" s="58"/>
      <c r="AB88" s="58"/>
    </row>
    <row r="89" spans="3:28" x14ac:dyDescent="0.35">
      <c r="C89" s="64">
        <v>84</v>
      </c>
      <c r="D89" s="65">
        <v>27400</v>
      </c>
      <c r="E89" s="65">
        <v>28200</v>
      </c>
      <c r="F89" s="65">
        <v>29900</v>
      </c>
      <c r="G89" s="65">
        <v>30300</v>
      </c>
      <c r="H89" s="65">
        <v>30800</v>
      </c>
      <c r="I89" s="65">
        <v>32400</v>
      </c>
      <c r="J89" s="65">
        <v>34200</v>
      </c>
      <c r="K89" s="65">
        <v>35300</v>
      </c>
      <c r="L89" s="65">
        <v>36900</v>
      </c>
      <c r="M89" s="65"/>
      <c r="N89" s="65">
        <v>38500</v>
      </c>
      <c r="O89" s="65">
        <v>38500</v>
      </c>
      <c r="P89" s="65">
        <v>40000</v>
      </c>
      <c r="Q89" s="65">
        <v>40700</v>
      </c>
      <c r="R89" s="65">
        <v>41500</v>
      </c>
      <c r="S89" s="65">
        <v>42000</v>
      </c>
      <c r="T89" s="65">
        <v>43200</v>
      </c>
      <c r="U89" s="65">
        <v>43700</v>
      </c>
      <c r="V89" s="65">
        <v>45000</v>
      </c>
      <c r="W89" s="66">
        <f t="shared" si="1"/>
        <v>900</v>
      </c>
      <c r="X89" s="58"/>
      <c r="Y89" s="58"/>
      <c r="Z89" s="58"/>
      <c r="AA89" s="58"/>
      <c r="AB89" s="58"/>
    </row>
    <row r="90" spans="3:28" x14ac:dyDescent="0.35">
      <c r="C90" s="64">
        <v>85</v>
      </c>
      <c r="D90" s="65">
        <v>28100</v>
      </c>
      <c r="E90" s="65">
        <v>29000</v>
      </c>
      <c r="F90" s="65">
        <v>30700</v>
      </c>
      <c r="G90" s="65">
        <v>31200</v>
      </c>
      <c r="H90" s="65">
        <v>31600</v>
      </c>
      <c r="I90" s="65">
        <v>33300</v>
      </c>
      <c r="J90" s="65">
        <v>35100</v>
      </c>
      <c r="K90" s="65">
        <v>36300</v>
      </c>
      <c r="L90" s="65">
        <v>37900</v>
      </c>
      <c r="M90" s="65"/>
      <c r="N90" s="65">
        <v>39600</v>
      </c>
      <c r="O90" s="65">
        <v>39600</v>
      </c>
      <c r="P90" s="65">
        <v>41100</v>
      </c>
      <c r="Q90" s="65">
        <v>41800</v>
      </c>
      <c r="R90" s="65">
        <v>42500</v>
      </c>
      <c r="S90" s="65">
        <v>43100</v>
      </c>
      <c r="T90" s="65">
        <v>44400</v>
      </c>
      <c r="U90" s="65">
        <v>44900</v>
      </c>
      <c r="V90" s="65">
        <v>46100</v>
      </c>
      <c r="W90" s="66">
        <f t="shared" si="1"/>
        <v>1100</v>
      </c>
      <c r="X90" s="58"/>
      <c r="Y90" s="58"/>
      <c r="Z90" s="58"/>
      <c r="AA90" s="58"/>
      <c r="AB90" s="58"/>
    </row>
    <row r="91" spans="3:28" x14ac:dyDescent="0.35">
      <c r="C91" s="64">
        <v>86</v>
      </c>
      <c r="D91" s="65">
        <v>28900</v>
      </c>
      <c r="E91" s="65">
        <v>29800</v>
      </c>
      <c r="F91" s="65">
        <v>31600</v>
      </c>
      <c r="G91" s="65">
        <v>32000</v>
      </c>
      <c r="H91" s="65">
        <v>32500</v>
      </c>
      <c r="I91" s="65">
        <v>34300</v>
      </c>
      <c r="J91" s="65">
        <v>36200</v>
      </c>
      <c r="K91" s="65">
        <v>37500</v>
      </c>
      <c r="L91" s="65">
        <v>39100</v>
      </c>
      <c r="M91" s="65"/>
      <c r="N91" s="65">
        <v>40800</v>
      </c>
      <c r="O91" s="65">
        <v>40700</v>
      </c>
      <c r="P91" s="65">
        <v>42200</v>
      </c>
      <c r="Q91" s="65">
        <v>42800</v>
      </c>
      <c r="R91" s="65">
        <v>43800</v>
      </c>
      <c r="S91" s="65">
        <v>44400</v>
      </c>
      <c r="T91" s="65">
        <v>45800</v>
      </c>
      <c r="U91" s="65">
        <v>46200</v>
      </c>
      <c r="V91" s="65">
        <v>47500</v>
      </c>
      <c r="W91" s="66">
        <f t="shared" si="1"/>
        <v>1400</v>
      </c>
      <c r="X91" s="58"/>
      <c r="Y91" s="58"/>
      <c r="Z91" s="58"/>
      <c r="AA91" s="58"/>
      <c r="AB91" s="58"/>
    </row>
    <row r="92" spans="3:28" x14ac:dyDescent="0.35">
      <c r="C92" s="64">
        <v>87</v>
      </c>
      <c r="D92" s="65">
        <v>29700</v>
      </c>
      <c r="E92" s="65">
        <v>30800</v>
      </c>
      <c r="F92" s="65">
        <v>32600</v>
      </c>
      <c r="G92" s="65">
        <v>33100</v>
      </c>
      <c r="H92" s="65">
        <v>33500</v>
      </c>
      <c r="I92" s="65">
        <v>35300</v>
      </c>
      <c r="J92" s="65">
        <v>37200</v>
      </c>
      <c r="K92" s="65">
        <v>38500</v>
      </c>
      <c r="L92" s="65">
        <v>40100</v>
      </c>
      <c r="M92" s="65"/>
      <c r="N92" s="65">
        <v>42100</v>
      </c>
      <c r="O92" s="65">
        <v>42000</v>
      </c>
      <c r="P92" s="65">
        <v>43400</v>
      </c>
      <c r="Q92" s="65">
        <v>44100</v>
      </c>
      <c r="R92" s="65">
        <v>45200</v>
      </c>
      <c r="S92" s="65">
        <v>45900</v>
      </c>
      <c r="T92" s="65">
        <v>47300</v>
      </c>
      <c r="U92" s="65">
        <v>47800</v>
      </c>
      <c r="V92" s="65">
        <v>49000</v>
      </c>
      <c r="W92" s="66">
        <f t="shared" si="1"/>
        <v>1500</v>
      </c>
      <c r="X92" s="58"/>
      <c r="Y92" s="58"/>
      <c r="Z92" s="58"/>
      <c r="AA92" s="58"/>
      <c r="AB92" s="58"/>
    </row>
    <row r="93" spans="3:28" x14ac:dyDescent="0.35">
      <c r="C93" s="64">
        <v>88</v>
      </c>
      <c r="D93" s="65">
        <v>30700</v>
      </c>
      <c r="E93" s="65">
        <v>31800</v>
      </c>
      <c r="F93" s="65">
        <v>33700</v>
      </c>
      <c r="G93" s="65">
        <v>34200</v>
      </c>
      <c r="H93" s="65">
        <v>34600</v>
      </c>
      <c r="I93" s="65">
        <v>36400</v>
      </c>
      <c r="J93" s="65">
        <v>38400</v>
      </c>
      <c r="K93" s="65">
        <v>39800</v>
      </c>
      <c r="L93" s="65">
        <v>41400</v>
      </c>
      <c r="M93" s="65"/>
      <c r="N93" s="65">
        <v>43400</v>
      </c>
      <c r="O93" s="65">
        <v>43300</v>
      </c>
      <c r="P93" s="65">
        <v>44800</v>
      </c>
      <c r="Q93" s="65">
        <v>45600</v>
      </c>
      <c r="R93" s="65">
        <v>46700</v>
      </c>
      <c r="S93" s="65">
        <v>47400</v>
      </c>
      <c r="T93" s="65">
        <v>49000</v>
      </c>
      <c r="U93" s="65">
        <v>49600</v>
      </c>
      <c r="V93" s="65">
        <v>50600</v>
      </c>
      <c r="W93" s="66">
        <f t="shared" si="1"/>
        <v>1600</v>
      </c>
      <c r="X93" s="58"/>
      <c r="Y93" s="58"/>
      <c r="Z93" s="58"/>
      <c r="AA93" s="58"/>
      <c r="AB93" s="58"/>
    </row>
    <row r="94" spans="3:28" x14ac:dyDescent="0.35">
      <c r="C94" s="64">
        <v>89</v>
      </c>
      <c r="D94" s="65">
        <v>31800</v>
      </c>
      <c r="E94" s="65">
        <v>32900</v>
      </c>
      <c r="F94" s="65">
        <v>34900</v>
      </c>
      <c r="G94" s="65">
        <v>35400</v>
      </c>
      <c r="H94" s="65">
        <v>35700</v>
      </c>
      <c r="I94" s="65">
        <v>37600</v>
      </c>
      <c r="J94" s="65">
        <v>39700</v>
      </c>
      <c r="K94" s="65">
        <v>41200</v>
      </c>
      <c r="L94" s="65">
        <v>43000</v>
      </c>
      <c r="M94" s="65"/>
      <c r="N94" s="65">
        <v>44800</v>
      </c>
      <c r="O94" s="65">
        <v>44600</v>
      </c>
      <c r="P94" s="65">
        <v>46400</v>
      </c>
      <c r="Q94" s="65">
        <v>47200</v>
      </c>
      <c r="R94" s="65">
        <v>48500</v>
      </c>
      <c r="S94" s="65">
        <v>49400</v>
      </c>
      <c r="T94" s="65">
        <v>50900</v>
      </c>
      <c r="U94" s="65">
        <v>51400</v>
      </c>
      <c r="V94" s="65">
        <v>52600</v>
      </c>
      <c r="W94" s="66">
        <f t="shared" si="1"/>
        <v>2000</v>
      </c>
      <c r="X94" s="58"/>
      <c r="Y94" s="58"/>
      <c r="Z94" s="58"/>
      <c r="AA94" s="58"/>
      <c r="AB94" s="58"/>
    </row>
    <row r="95" spans="3:28" x14ac:dyDescent="0.35">
      <c r="C95" s="64">
        <v>90</v>
      </c>
      <c r="D95" s="65">
        <v>33000</v>
      </c>
      <c r="E95" s="65">
        <v>34200</v>
      </c>
      <c r="F95" s="65">
        <v>36200</v>
      </c>
      <c r="G95" s="65">
        <v>36700</v>
      </c>
      <c r="H95" s="65">
        <v>37100</v>
      </c>
      <c r="I95" s="65">
        <v>39000</v>
      </c>
      <c r="J95" s="65">
        <v>41300</v>
      </c>
      <c r="K95" s="65">
        <v>42900</v>
      </c>
      <c r="L95" s="65">
        <v>44900</v>
      </c>
      <c r="M95" s="65"/>
      <c r="N95" s="65">
        <v>46600</v>
      </c>
      <c r="O95" s="65">
        <v>46300</v>
      </c>
      <c r="P95" s="65">
        <v>48300</v>
      </c>
      <c r="Q95" s="65">
        <v>49200</v>
      </c>
      <c r="R95" s="65">
        <v>50600</v>
      </c>
      <c r="S95" s="65">
        <v>51400</v>
      </c>
      <c r="T95" s="65">
        <v>53100</v>
      </c>
      <c r="U95" s="65">
        <v>53600</v>
      </c>
      <c r="V95" s="65">
        <v>54900</v>
      </c>
      <c r="W95" s="66">
        <f t="shared" si="1"/>
        <v>2300</v>
      </c>
      <c r="X95" s="58"/>
      <c r="Y95" s="58"/>
      <c r="Z95" s="58"/>
      <c r="AA95" s="58"/>
      <c r="AB95" s="58"/>
    </row>
    <row r="96" spans="3:28" x14ac:dyDescent="0.35">
      <c r="C96" s="64">
        <v>91</v>
      </c>
      <c r="D96" s="65">
        <v>34500</v>
      </c>
      <c r="E96" s="65">
        <v>35800</v>
      </c>
      <c r="F96" s="65">
        <v>37900</v>
      </c>
      <c r="G96" s="65">
        <v>38400</v>
      </c>
      <c r="H96" s="65">
        <v>38800</v>
      </c>
      <c r="I96" s="65">
        <v>40700</v>
      </c>
      <c r="J96" s="65">
        <v>43200</v>
      </c>
      <c r="K96" s="65">
        <v>44800</v>
      </c>
      <c r="L96" s="65">
        <v>47000</v>
      </c>
      <c r="M96" s="65"/>
      <c r="N96" s="65">
        <v>48700</v>
      </c>
      <c r="O96" s="65">
        <v>48400</v>
      </c>
      <c r="P96" s="65">
        <v>50500</v>
      </c>
      <c r="Q96" s="65">
        <v>51500</v>
      </c>
      <c r="R96" s="65">
        <v>53100</v>
      </c>
      <c r="S96" s="65">
        <v>54000</v>
      </c>
      <c r="T96" s="65">
        <v>55800</v>
      </c>
      <c r="U96" s="65">
        <v>56300</v>
      </c>
      <c r="V96" s="65">
        <v>57700</v>
      </c>
      <c r="W96" s="66">
        <f t="shared" si="1"/>
        <v>2800</v>
      </c>
      <c r="X96" s="58"/>
      <c r="Y96" s="58"/>
      <c r="Z96" s="58"/>
      <c r="AA96" s="58"/>
      <c r="AB96" s="58"/>
    </row>
    <row r="97" spans="2:28" x14ac:dyDescent="0.35">
      <c r="C97" s="64">
        <v>92</v>
      </c>
      <c r="D97" s="65">
        <v>36300</v>
      </c>
      <c r="E97" s="65">
        <v>37700</v>
      </c>
      <c r="F97" s="65">
        <v>39800</v>
      </c>
      <c r="G97" s="65">
        <v>40400</v>
      </c>
      <c r="H97" s="65">
        <v>41000</v>
      </c>
      <c r="I97" s="65">
        <v>42700</v>
      </c>
      <c r="J97" s="65">
        <v>45500</v>
      </c>
      <c r="K97" s="65">
        <v>47300</v>
      </c>
      <c r="L97" s="65">
        <v>49600</v>
      </c>
      <c r="M97" s="65"/>
      <c r="N97" s="65">
        <v>51200</v>
      </c>
      <c r="O97" s="65">
        <v>50800</v>
      </c>
      <c r="P97" s="65">
        <v>53200</v>
      </c>
      <c r="Q97" s="65">
        <v>54300</v>
      </c>
      <c r="R97" s="65">
        <v>56000</v>
      </c>
      <c r="S97" s="65">
        <v>57000</v>
      </c>
      <c r="T97" s="65">
        <v>59000</v>
      </c>
      <c r="U97" s="65">
        <v>59500</v>
      </c>
      <c r="V97" s="65">
        <v>61000</v>
      </c>
      <c r="W97" s="66">
        <f t="shared" si="1"/>
        <v>3300</v>
      </c>
      <c r="X97" s="58"/>
      <c r="Y97" s="58"/>
      <c r="Z97" s="58"/>
      <c r="AA97" s="58"/>
      <c r="AB97" s="58"/>
    </row>
    <row r="98" spans="2:28" x14ac:dyDescent="0.35">
      <c r="C98" s="64">
        <v>93</v>
      </c>
      <c r="D98" s="65">
        <v>38400</v>
      </c>
      <c r="E98" s="65">
        <v>40100</v>
      </c>
      <c r="F98" s="65">
        <v>42200</v>
      </c>
      <c r="G98" s="65">
        <v>42800</v>
      </c>
      <c r="H98" s="65">
        <v>43500</v>
      </c>
      <c r="I98" s="65">
        <v>45100</v>
      </c>
      <c r="J98" s="65">
        <v>48200</v>
      </c>
      <c r="K98" s="65">
        <v>50200</v>
      </c>
      <c r="L98" s="65">
        <v>52600</v>
      </c>
      <c r="M98" s="65"/>
      <c r="N98" s="65">
        <v>54100</v>
      </c>
      <c r="O98" s="65">
        <v>53600</v>
      </c>
      <c r="P98" s="65">
        <v>56500</v>
      </c>
      <c r="Q98" s="65">
        <v>57700</v>
      </c>
      <c r="R98" s="65">
        <v>59700</v>
      </c>
      <c r="S98" s="65">
        <v>60700</v>
      </c>
      <c r="T98" s="65">
        <v>63200</v>
      </c>
      <c r="U98" s="65">
        <v>63500</v>
      </c>
      <c r="V98" s="65">
        <v>65000</v>
      </c>
      <c r="W98" s="66">
        <f t="shared" si="1"/>
        <v>4000</v>
      </c>
      <c r="X98" s="58"/>
      <c r="Y98" s="58"/>
      <c r="Z98" s="58"/>
      <c r="AA98" s="58"/>
      <c r="AB98" s="58"/>
    </row>
    <row r="99" spans="2:28" x14ac:dyDescent="0.35">
      <c r="C99" s="64">
        <v>94</v>
      </c>
      <c r="D99" s="65">
        <v>41200</v>
      </c>
      <c r="E99" s="65">
        <v>43000</v>
      </c>
      <c r="F99" s="65">
        <v>45200</v>
      </c>
      <c r="G99" s="65">
        <v>45800</v>
      </c>
      <c r="H99" s="65">
        <v>46600</v>
      </c>
      <c r="I99" s="65">
        <v>48300</v>
      </c>
      <c r="J99" s="65">
        <v>51800</v>
      </c>
      <c r="K99" s="65">
        <v>53800</v>
      </c>
      <c r="L99" s="65">
        <v>56300</v>
      </c>
      <c r="M99" s="65"/>
      <c r="N99" s="65">
        <v>58000</v>
      </c>
      <c r="O99" s="65">
        <v>57300</v>
      </c>
      <c r="P99" s="65">
        <v>60700</v>
      </c>
      <c r="Q99" s="65">
        <v>62000</v>
      </c>
      <c r="R99" s="65">
        <v>64400</v>
      </c>
      <c r="S99" s="65">
        <v>65400</v>
      </c>
      <c r="T99" s="65">
        <v>68400</v>
      </c>
      <c r="U99" s="65">
        <v>68600</v>
      </c>
      <c r="V99" s="65">
        <v>70200</v>
      </c>
      <c r="W99" s="66">
        <f t="shared" si="1"/>
        <v>5200</v>
      </c>
      <c r="X99" s="58"/>
      <c r="Y99" s="58"/>
      <c r="Z99" s="58"/>
      <c r="AA99" s="58"/>
      <c r="AB99" s="58"/>
    </row>
    <row r="100" spans="2:28" x14ac:dyDescent="0.35">
      <c r="C100" s="64">
        <v>95</v>
      </c>
      <c r="D100" s="65">
        <v>44600</v>
      </c>
      <c r="E100" s="65">
        <v>46700</v>
      </c>
      <c r="F100" s="65">
        <v>49200</v>
      </c>
      <c r="G100" s="65">
        <v>49800</v>
      </c>
      <c r="H100" s="65">
        <v>50600</v>
      </c>
      <c r="I100" s="65">
        <v>52400</v>
      </c>
      <c r="J100" s="65">
        <v>56200</v>
      </c>
      <c r="K100" s="65">
        <v>58500</v>
      </c>
      <c r="L100" s="65">
        <v>61500</v>
      </c>
      <c r="M100" s="65"/>
      <c r="N100" s="65">
        <v>63200</v>
      </c>
      <c r="O100" s="65">
        <v>62600</v>
      </c>
      <c r="P100" s="65">
        <v>66200</v>
      </c>
      <c r="Q100" s="65">
        <v>67900</v>
      </c>
      <c r="R100" s="65">
        <v>70400</v>
      </c>
      <c r="S100" s="65">
        <v>71700</v>
      </c>
      <c r="T100" s="65">
        <v>75000</v>
      </c>
      <c r="U100" s="65">
        <v>75300</v>
      </c>
      <c r="V100" s="65">
        <v>76800</v>
      </c>
      <c r="W100" s="66">
        <f t="shared" si="1"/>
        <v>6600</v>
      </c>
      <c r="X100" s="58"/>
      <c r="Y100" s="58"/>
      <c r="Z100" s="58"/>
      <c r="AA100" s="58"/>
      <c r="AB100" s="58"/>
    </row>
    <row r="101" spans="2:28" x14ac:dyDescent="0.35">
      <c r="C101" s="64">
        <v>96</v>
      </c>
      <c r="D101" s="65">
        <v>49600</v>
      </c>
      <c r="E101" s="65">
        <v>51800</v>
      </c>
      <c r="F101" s="65">
        <v>54600</v>
      </c>
      <c r="G101" s="65">
        <v>55200</v>
      </c>
      <c r="H101" s="65">
        <v>56200</v>
      </c>
      <c r="I101" s="65">
        <v>58100</v>
      </c>
      <c r="J101" s="65">
        <v>62500</v>
      </c>
      <c r="K101" s="65">
        <v>65300</v>
      </c>
      <c r="L101" s="65">
        <v>68700</v>
      </c>
      <c r="M101" s="65"/>
      <c r="N101" s="65">
        <v>70700</v>
      </c>
      <c r="O101" s="65">
        <v>69600</v>
      </c>
      <c r="P101" s="65">
        <v>74100</v>
      </c>
      <c r="Q101" s="65">
        <v>76100</v>
      </c>
      <c r="R101" s="65">
        <v>78800</v>
      </c>
      <c r="S101" s="65">
        <v>80300</v>
      </c>
      <c r="T101" s="65">
        <v>84100</v>
      </c>
      <c r="U101" s="65">
        <v>83700</v>
      </c>
      <c r="V101" s="65">
        <v>86000</v>
      </c>
      <c r="W101" s="66">
        <f t="shared" si="1"/>
        <v>9200</v>
      </c>
      <c r="X101" s="58"/>
      <c r="Y101" s="58"/>
      <c r="Z101" s="58"/>
      <c r="AA101" s="58"/>
      <c r="AB101" s="58"/>
    </row>
    <row r="102" spans="2:28" x14ac:dyDescent="0.35">
      <c r="C102" s="64">
        <v>97</v>
      </c>
      <c r="D102" s="65">
        <v>56600</v>
      </c>
      <c r="E102" s="65">
        <v>59200</v>
      </c>
      <c r="F102" s="65">
        <v>62600</v>
      </c>
      <c r="G102" s="65">
        <v>63200</v>
      </c>
      <c r="H102" s="65">
        <v>64600</v>
      </c>
      <c r="I102" s="65">
        <v>66500</v>
      </c>
      <c r="J102" s="65">
        <v>72200</v>
      </c>
      <c r="K102" s="65">
        <v>76000</v>
      </c>
      <c r="L102" s="65">
        <v>80100</v>
      </c>
      <c r="M102" s="65"/>
      <c r="N102" s="65">
        <v>81700</v>
      </c>
      <c r="O102" s="65">
        <v>80100</v>
      </c>
      <c r="P102" s="65">
        <v>85500</v>
      </c>
      <c r="Q102" s="65">
        <v>88000</v>
      </c>
      <c r="R102" s="65">
        <v>91300</v>
      </c>
      <c r="S102" s="65">
        <v>92900</v>
      </c>
      <c r="T102" s="65">
        <v>97100</v>
      </c>
      <c r="U102" s="65">
        <v>96400</v>
      </c>
      <c r="V102" s="65">
        <v>98600</v>
      </c>
      <c r="W102" s="66">
        <f t="shared" si="1"/>
        <v>12600</v>
      </c>
      <c r="X102" s="58"/>
      <c r="Y102" s="58"/>
      <c r="Z102" s="58"/>
      <c r="AA102" s="58"/>
      <c r="AB102" s="58"/>
    </row>
    <row r="103" spans="2:28" x14ac:dyDescent="0.35">
      <c r="C103" s="64">
        <v>98</v>
      </c>
      <c r="D103" s="65">
        <v>68600</v>
      </c>
      <c r="E103" s="65">
        <v>72000</v>
      </c>
      <c r="F103" s="65">
        <v>76200</v>
      </c>
      <c r="G103" s="65">
        <v>76900</v>
      </c>
      <c r="H103" s="65">
        <v>78500</v>
      </c>
      <c r="I103" s="65">
        <v>81700</v>
      </c>
      <c r="J103" s="65">
        <v>89800</v>
      </c>
      <c r="K103" s="65">
        <v>94600</v>
      </c>
      <c r="L103" s="65">
        <v>99900</v>
      </c>
      <c r="M103" s="65"/>
      <c r="N103" s="65">
        <v>101000</v>
      </c>
      <c r="O103" s="65">
        <v>97300</v>
      </c>
      <c r="P103" s="65">
        <v>104000</v>
      </c>
      <c r="Q103" s="65">
        <v>106000</v>
      </c>
      <c r="R103" s="65">
        <v>110000</v>
      </c>
      <c r="S103" s="65">
        <v>112000</v>
      </c>
      <c r="T103" s="65">
        <v>117000</v>
      </c>
      <c r="U103" s="65">
        <v>116000</v>
      </c>
      <c r="V103" s="65">
        <v>121000</v>
      </c>
      <c r="W103" s="66">
        <f t="shared" si="1"/>
        <v>22400</v>
      </c>
      <c r="X103" s="58"/>
      <c r="Y103" s="58"/>
      <c r="Z103" s="58"/>
      <c r="AA103" s="58"/>
      <c r="AB103" s="58"/>
    </row>
    <row r="104" spans="2:28" s="70" customFormat="1" ht="21" customHeight="1" thickBot="1" x14ac:dyDescent="0.3">
      <c r="C104" s="71">
        <v>99</v>
      </c>
      <c r="D104" s="72">
        <v>96400</v>
      </c>
      <c r="E104" s="72">
        <v>102000</v>
      </c>
      <c r="F104" s="72">
        <v>107000</v>
      </c>
      <c r="G104" s="72">
        <v>108000</v>
      </c>
      <c r="H104" s="72">
        <v>111000</v>
      </c>
      <c r="I104" s="72">
        <v>117000</v>
      </c>
      <c r="J104" s="72">
        <v>132000</v>
      </c>
      <c r="K104" s="72">
        <v>141000</v>
      </c>
      <c r="L104" s="72">
        <v>149000</v>
      </c>
      <c r="M104" s="72"/>
      <c r="N104" s="72">
        <v>149000</v>
      </c>
      <c r="O104" s="72">
        <v>140000</v>
      </c>
      <c r="P104" s="72">
        <v>147000</v>
      </c>
      <c r="Q104" s="72">
        <v>150000</v>
      </c>
      <c r="R104" s="72">
        <v>159000</v>
      </c>
      <c r="S104" s="72">
        <v>162000</v>
      </c>
      <c r="T104" s="72">
        <v>170000</v>
      </c>
      <c r="U104" s="73">
        <v>166000</v>
      </c>
      <c r="V104" s="65">
        <v>175000</v>
      </c>
      <c r="W104" s="74">
        <f t="shared" si="1"/>
        <v>54000</v>
      </c>
    </row>
    <row r="105" spans="2:28" ht="30" customHeight="1" x14ac:dyDescent="0.35">
      <c r="B105" s="180" t="s">
        <v>51</v>
      </c>
      <c r="C105" s="180"/>
      <c r="D105" s="75" t="s">
        <v>31</v>
      </c>
      <c r="E105" s="75" t="s">
        <v>32</v>
      </c>
      <c r="F105" s="75" t="s">
        <v>33</v>
      </c>
      <c r="G105" s="75" t="s">
        <v>34</v>
      </c>
      <c r="H105" s="75" t="s">
        <v>35</v>
      </c>
      <c r="I105" s="75" t="s">
        <v>36</v>
      </c>
      <c r="J105" s="75" t="s">
        <v>37</v>
      </c>
      <c r="K105" s="75" t="s">
        <v>38</v>
      </c>
      <c r="L105" s="75" t="s">
        <v>39</v>
      </c>
      <c r="M105" s="75" t="s">
        <v>40</v>
      </c>
      <c r="N105" s="75" t="s">
        <v>41</v>
      </c>
      <c r="O105" s="75" t="s">
        <v>42</v>
      </c>
      <c r="P105" s="75" t="s">
        <v>43</v>
      </c>
      <c r="Q105" s="75" t="s">
        <v>44</v>
      </c>
      <c r="R105" s="75" t="s">
        <v>45</v>
      </c>
      <c r="S105" s="75" t="s">
        <v>46</v>
      </c>
      <c r="T105" s="75" t="s">
        <v>47</v>
      </c>
      <c r="U105" s="75" t="s">
        <v>48</v>
      </c>
      <c r="V105" s="75" t="s">
        <v>49</v>
      </c>
      <c r="W105" s="61"/>
      <c r="X105" s="58"/>
      <c r="Y105" s="58"/>
      <c r="Z105" s="58"/>
      <c r="AA105" s="58"/>
      <c r="AB105" s="58"/>
    </row>
    <row r="106" spans="2:28" x14ac:dyDescent="0.35">
      <c r="C106" s="76">
        <v>1</v>
      </c>
      <c r="D106" s="73">
        <v>4570</v>
      </c>
      <c r="E106" s="73">
        <v>4600</v>
      </c>
      <c r="F106" s="73">
        <v>4760</v>
      </c>
      <c r="G106" s="73">
        <v>4840</v>
      </c>
      <c r="H106" s="73">
        <v>4800</v>
      </c>
      <c r="I106" s="73">
        <v>4950</v>
      </c>
      <c r="J106" s="73">
        <v>5170</v>
      </c>
      <c r="K106" s="73">
        <v>5370</v>
      </c>
      <c r="L106" s="73">
        <v>5570</v>
      </c>
      <c r="M106" s="73"/>
      <c r="N106" s="73">
        <v>6740</v>
      </c>
      <c r="O106" s="73">
        <v>6690</v>
      </c>
      <c r="P106" s="73">
        <v>7690</v>
      </c>
      <c r="Q106" s="73">
        <v>8320</v>
      </c>
      <c r="R106" s="73">
        <v>9660</v>
      </c>
      <c r="S106" s="73">
        <v>10200</v>
      </c>
      <c r="T106" s="73">
        <v>10800</v>
      </c>
      <c r="U106" s="73">
        <v>11200</v>
      </c>
      <c r="V106" s="65">
        <v>11700</v>
      </c>
      <c r="W106" s="61"/>
      <c r="X106" s="58"/>
      <c r="Y106" s="58"/>
      <c r="Z106" s="58"/>
      <c r="AA106" s="58"/>
      <c r="AB106" s="58"/>
    </row>
    <row r="107" spans="2:28" x14ac:dyDescent="0.35">
      <c r="C107" s="76">
        <v>2</v>
      </c>
      <c r="D107" s="73">
        <v>4800</v>
      </c>
      <c r="E107" s="73">
        <v>4800</v>
      </c>
      <c r="F107" s="73">
        <v>5000</v>
      </c>
      <c r="G107" s="73">
        <v>5070</v>
      </c>
      <c r="H107" s="73">
        <v>5020</v>
      </c>
      <c r="I107" s="73">
        <v>5200</v>
      </c>
      <c r="J107" s="73">
        <v>5450</v>
      </c>
      <c r="K107" s="73">
        <v>5660</v>
      </c>
      <c r="L107" s="73">
        <v>5860</v>
      </c>
      <c r="M107" s="73"/>
      <c r="N107" s="73">
        <v>6980</v>
      </c>
      <c r="O107" s="73">
        <v>6910</v>
      </c>
      <c r="P107" s="73">
        <v>7910</v>
      </c>
      <c r="Q107" s="73">
        <v>8570</v>
      </c>
      <c r="R107" s="73">
        <v>9900</v>
      </c>
      <c r="S107" s="73">
        <v>10500</v>
      </c>
      <c r="T107" s="73">
        <v>11000</v>
      </c>
      <c r="U107" s="73">
        <v>11400</v>
      </c>
      <c r="V107" s="65">
        <v>11900</v>
      </c>
      <c r="W107" s="61"/>
      <c r="X107" s="58"/>
      <c r="Y107" s="58"/>
      <c r="Z107" s="58"/>
      <c r="AA107" s="58"/>
      <c r="AB107" s="58"/>
    </row>
    <row r="108" spans="2:28" x14ac:dyDescent="0.35">
      <c r="C108" s="76">
        <v>3</v>
      </c>
      <c r="D108" s="73">
        <v>5010</v>
      </c>
      <c r="E108" s="73">
        <v>4990</v>
      </c>
      <c r="F108" s="73">
        <v>5250</v>
      </c>
      <c r="G108" s="73">
        <v>5330</v>
      </c>
      <c r="H108" s="73">
        <v>5260</v>
      </c>
      <c r="I108" s="73">
        <v>5450</v>
      </c>
      <c r="J108" s="73">
        <v>5710</v>
      </c>
      <c r="K108" s="73">
        <v>5930</v>
      </c>
      <c r="L108" s="73">
        <v>6150</v>
      </c>
      <c r="M108" s="73"/>
      <c r="N108" s="73">
        <v>7210</v>
      </c>
      <c r="O108" s="73">
        <v>7120</v>
      </c>
      <c r="P108" s="73">
        <v>8140</v>
      </c>
      <c r="Q108" s="73">
        <v>8820</v>
      </c>
      <c r="R108" s="73">
        <v>10100</v>
      </c>
      <c r="S108" s="73">
        <v>10700</v>
      </c>
      <c r="T108" s="73">
        <v>11200</v>
      </c>
      <c r="U108" s="73">
        <v>11600</v>
      </c>
      <c r="V108" s="65">
        <v>12200</v>
      </c>
      <c r="W108" s="61"/>
      <c r="X108" s="58"/>
      <c r="Y108" s="58"/>
      <c r="Z108" s="58"/>
      <c r="AA108" s="58"/>
      <c r="AB108" s="58"/>
    </row>
    <row r="109" spans="2:28" x14ac:dyDescent="0.35">
      <c r="C109" s="76">
        <v>4</v>
      </c>
      <c r="D109" s="73">
        <v>5260</v>
      </c>
      <c r="E109" s="73">
        <v>5200</v>
      </c>
      <c r="F109" s="73">
        <v>5490</v>
      </c>
      <c r="G109" s="73">
        <v>5570</v>
      </c>
      <c r="H109" s="73">
        <v>5500</v>
      </c>
      <c r="I109" s="73">
        <v>5700</v>
      </c>
      <c r="J109" s="73">
        <v>5960</v>
      </c>
      <c r="K109" s="73">
        <v>6190</v>
      </c>
      <c r="L109" s="73">
        <v>6430</v>
      </c>
      <c r="M109" s="73"/>
      <c r="N109" s="73">
        <v>7460</v>
      </c>
      <c r="O109" s="73">
        <v>7350</v>
      </c>
      <c r="P109" s="73">
        <v>8360</v>
      </c>
      <c r="Q109" s="73">
        <v>9060</v>
      </c>
      <c r="R109" s="73">
        <v>10400</v>
      </c>
      <c r="S109" s="73">
        <v>10800</v>
      </c>
      <c r="T109" s="73">
        <v>11300</v>
      </c>
      <c r="U109" s="73">
        <v>11800</v>
      </c>
      <c r="V109" s="65">
        <v>12400</v>
      </c>
      <c r="W109" s="61"/>
      <c r="X109" s="58"/>
      <c r="Y109" s="58"/>
      <c r="Z109" s="58"/>
      <c r="AA109" s="58"/>
      <c r="AB109" s="58"/>
    </row>
    <row r="110" spans="2:28" x14ac:dyDescent="0.35">
      <c r="C110" s="76">
        <v>5</v>
      </c>
      <c r="D110" s="73">
        <v>5500</v>
      </c>
      <c r="E110" s="73">
        <v>5410</v>
      </c>
      <c r="F110" s="73">
        <v>5730</v>
      </c>
      <c r="G110" s="73">
        <v>5830</v>
      </c>
      <c r="H110" s="73">
        <v>5730</v>
      </c>
      <c r="I110" s="73">
        <v>5940</v>
      </c>
      <c r="J110" s="73">
        <v>6210</v>
      </c>
      <c r="K110" s="73">
        <v>6450</v>
      </c>
      <c r="L110" s="73">
        <v>6710</v>
      </c>
      <c r="M110" s="73"/>
      <c r="N110" s="73">
        <v>7690</v>
      </c>
      <c r="O110" s="73">
        <v>7580</v>
      </c>
      <c r="P110" s="73">
        <v>8600</v>
      </c>
      <c r="Q110" s="73">
        <v>9300</v>
      </c>
      <c r="R110" s="73">
        <v>10600</v>
      </c>
      <c r="S110" s="73">
        <v>11000</v>
      </c>
      <c r="T110" s="73">
        <v>11500</v>
      </c>
      <c r="U110" s="73">
        <v>12000</v>
      </c>
      <c r="V110" s="65">
        <v>12600</v>
      </c>
      <c r="W110" s="61"/>
      <c r="X110" s="58"/>
      <c r="Y110" s="58"/>
      <c r="Z110" s="58"/>
      <c r="AA110" s="58"/>
      <c r="AB110" s="58"/>
    </row>
    <row r="111" spans="2:28" x14ac:dyDescent="0.35">
      <c r="C111" s="76">
        <v>6</v>
      </c>
      <c r="D111" s="73">
        <v>5740</v>
      </c>
      <c r="E111" s="73">
        <v>5610</v>
      </c>
      <c r="F111" s="73">
        <v>5970</v>
      </c>
      <c r="G111" s="73">
        <v>6070</v>
      </c>
      <c r="H111" s="73">
        <v>5960</v>
      </c>
      <c r="I111" s="73">
        <v>6190</v>
      </c>
      <c r="J111" s="73">
        <v>6470</v>
      </c>
      <c r="K111" s="73">
        <v>6710</v>
      </c>
      <c r="L111" s="73">
        <v>7000</v>
      </c>
      <c r="M111" s="73"/>
      <c r="N111" s="73">
        <v>7940</v>
      </c>
      <c r="O111" s="73">
        <v>7810</v>
      </c>
      <c r="P111" s="73">
        <v>8840</v>
      </c>
      <c r="Q111" s="73">
        <v>9550</v>
      </c>
      <c r="R111" s="73">
        <v>10800</v>
      </c>
      <c r="S111" s="73">
        <v>11200</v>
      </c>
      <c r="T111" s="73">
        <v>11700</v>
      </c>
      <c r="U111" s="73">
        <v>12200</v>
      </c>
      <c r="V111" s="65">
        <v>12800</v>
      </c>
      <c r="W111" s="61"/>
      <c r="X111" s="58"/>
      <c r="Y111" s="58"/>
      <c r="Z111" s="58"/>
      <c r="AA111" s="58"/>
      <c r="AB111" s="58"/>
    </row>
    <row r="112" spans="2:28" x14ac:dyDescent="0.35">
      <c r="C112" s="76">
        <v>7</v>
      </c>
      <c r="D112" s="73">
        <v>5890</v>
      </c>
      <c r="E112" s="73">
        <v>5810</v>
      </c>
      <c r="F112" s="73">
        <v>6180</v>
      </c>
      <c r="G112" s="73">
        <v>6280</v>
      </c>
      <c r="H112" s="73">
        <v>6190</v>
      </c>
      <c r="I112" s="73">
        <v>6440</v>
      </c>
      <c r="J112" s="73">
        <v>6720</v>
      </c>
      <c r="K112" s="73">
        <v>6970</v>
      </c>
      <c r="L112" s="73">
        <v>7270</v>
      </c>
      <c r="M112" s="73"/>
      <c r="N112" s="73">
        <v>8190</v>
      </c>
      <c r="O112" s="73">
        <v>8060</v>
      </c>
      <c r="P112" s="73">
        <v>9080</v>
      </c>
      <c r="Q112" s="73">
        <v>9800</v>
      </c>
      <c r="R112" s="73">
        <v>10900</v>
      </c>
      <c r="S112" s="73">
        <v>11300</v>
      </c>
      <c r="T112" s="73">
        <v>11900</v>
      </c>
      <c r="U112" s="73">
        <v>12300</v>
      </c>
      <c r="V112" s="65">
        <v>12900</v>
      </c>
      <c r="W112" s="61"/>
      <c r="X112" s="58"/>
      <c r="Y112" s="58"/>
      <c r="Z112" s="58"/>
      <c r="AA112" s="58"/>
      <c r="AB112" s="58"/>
    </row>
    <row r="113" spans="3:28" x14ac:dyDescent="0.35">
      <c r="C113" s="76">
        <v>8</v>
      </c>
      <c r="D113" s="73">
        <v>6060</v>
      </c>
      <c r="E113" s="73">
        <v>5980</v>
      </c>
      <c r="F113" s="73">
        <v>6340</v>
      </c>
      <c r="G113" s="73">
        <v>6450</v>
      </c>
      <c r="H113" s="73">
        <v>6420</v>
      </c>
      <c r="I113" s="73">
        <v>6660</v>
      </c>
      <c r="J113" s="73">
        <v>6950</v>
      </c>
      <c r="K113" s="73">
        <v>7190</v>
      </c>
      <c r="L113" s="73">
        <v>7500</v>
      </c>
      <c r="M113" s="73"/>
      <c r="N113" s="73">
        <v>8440</v>
      </c>
      <c r="O113" s="73">
        <v>8300</v>
      </c>
      <c r="P113" s="73">
        <v>9330</v>
      </c>
      <c r="Q113" s="73">
        <v>10000</v>
      </c>
      <c r="R113" s="73">
        <v>11100</v>
      </c>
      <c r="S113" s="73">
        <v>11500</v>
      </c>
      <c r="T113" s="73">
        <v>12000</v>
      </c>
      <c r="U113" s="73">
        <v>12500</v>
      </c>
      <c r="V113" s="65">
        <v>13100</v>
      </c>
      <c r="W113" s="61"/>
      <c r="X113" s="58"/>
      <c r="Y113" s="58"/>
      <c r="Z113" s="58"/>
      <c r="AA113" s="58"/>
      <c r="AB113" s="58"/>
    </row>
    <row r="114" spans="3:28" x14ac:dyDescent="0.35">
      <c r="C114" s="76">
        <v>9</v>
      </c>
      <c r="D114" s="73">
        <v>6210</v>
      </c>
      <c r="E114" s="73">
        <v>6130</v>
      </c>
      <c r="F114" s="73">
        <v>6490</v>
      </c>
      <c r="G114" s="73">
        <v>6600</v>
      </c>
      <c r="H114" s="73">
        <v>6630</v>
      </c>
      <c r="I114" s="73">
        <v>6880</v>
      </c>
      <c r="J114" s="73">
        <v>7160</v>
      </c>
      <c r="K114" s="73">
        <v>7420</v>
      </c>
      <c r="L114" s="73">
        <v>7730</v>
      </c>
      <c r="M114" s="73"/>
      <c r="N114" s="73">
        <v>8680</v>
      </c>
      <c r="O114" s="73">
        <v>8550</v>
      </c>
      <c r="P114" s="73">
        <v>9580</v>
      </c>
      <c r="Q114" s="73">
        <v>10300</v>
      </c>
      <c r="R114" s="73">
        <v>11300</v>
      </c>
      <c r="S114" s="73">
        <v>11700</v>
      </c>
      <c r="T114" s="73">
        <v>12200</v>
      </c>
      <c r="U114" s="73">
        <v>12700</v>
      </c>
      <c r="V114" s="65">
        <v>13300</v>
      </c>
      <c r="W114" s="61"/>
      <c r="X114" s="58"/>
      <c r="Y114" s="58"/>
      <c r="Z114" s="58"/>
      <c r="AA114" s="58"/>
      <c r="AB114" s="58"/>
    </row>
    <row r="115" spans="3:28" x14ac:dyDescent="0.35">
      <c r="C115" s="76">
        <v>10</v>
      </c>
      <c r="D115" s="73">
        <v>6340</v>
      </c>
      <c r="E115" s="73">
        <v>6270</v>
      </c>
      <c r="F115" s="73">
        <v>6650</v>
      </c>
      <c r="G115" s="73">
        <v>6760</v>
      </c>
      <c r="H115" s="73">
        <v>6790</v>
      </c>
      <c r="I115" s="73">
        <v>7040</v>
      </c>
      <c r="J115" s="73">
        <v>7340</v>
      </c>
      <c r="K115" s="73">
        <v>7610</v>
      </c>
      <c r="L115" s="73">
        <v>7940</v>
      </c>
      <c r="M115" s="73"/>
      <c r="N115" s="73">
        <v>8940</v>
      </c>
      <c r="O115" s="73">
        <v>8800</v>
      </c>
      <c r="P115" s="73">
        <v>9830</v>
      </c>
      <c r="Q115" s="73">
        <v>10500</v>
      </c>
      <c r="R115" s="73">
        <v>11400</v>
      </c>
      <c r="S115" s="73">
        <v>11800</v>
      </c>
      <c r="T115" s="73">
        <v>12400</v>
      </c>
      <c r="U115" s="73">
        <v>12900</v>
      </c>
      <c r="V115" s="65">
        <v>13500</v>
      </c>
      <c r="W115" s="61"/>
      <c r="X115" s="58"/>
      <c r="Y115" s="58"/>
      <c r="Z115" s="58"/>
      <c r="AA115" s="58"/>
      <c r="AB115" s="58"/>
    </row>
    <row r="116" spans="3:28" x14ac:dyDescent="0.35">
      <c r="C116" s="76">
        <v>11</v>
      </c>
      <c r="D116" s="73">
        <v>6470</v>
      </c>
      <c r="E116" s="73">
        <v>6400</v>
      </c>
      <c r="F116" s="73">
        <v>6810</v>
      </c>
      <c r="G116" s="73">
        <v>6920</v>
      </c>
      <c r="H116" s="73">
        <v>6950</v>
      </c>
      <c r="I116" s="73">
        <v>7200</v>
      </c>
      <c r="J116" s="73">
        <v>7520</v>
      </c>
      <c r="K116" s="73">
        <v>7780</v>
      </c>
      <c r="L116" s="73">
        <v>8130</v>
      </c>
      <c r="M116" s="73"/>
      <c r="N116" s="73">
        <v>9180</v>
      </c>
      <c r="O116" s="73">
        <v>9060</v>
      </c>
      <c r="P116" s="73">
        <v>10000</v>
      </c>
      <c r="Q116" s="73">
        <v>10700</v>
      </c>
      <c r="R116" s="73">
        <v>11600</v>
      </c>
      <c r="S116" s="73">
        <v>12000</v>
      </c>
      <c r="T116" s="73">
        <v>12600</v>
      </c>
      <c r="U116" s="73">
        <v>13100</v>
      </c>
      <c r="V116" s="65">
        <v>13700</v>
      </c>
      <c r="W116" s="61"/>
      <c r="X116" s="58"/>
      <c r="Y116" s="58"/>
      <c r="Z116" s="58"/>
      <c r="AA116" s="58"/>
      <c r="AB116" s="58"/>
    </row>
    <row r="117" spans="3:28" x14ac:dyDescent="0.35">
      <c r="C117" s="76">
        <v>12</v>
      </c>
      <c r="D117" s="73">
        <v>6610</v>
      </c>
      <c r="E117" s="73">
        <v>6550</v>
      </c>
      <c r="F117" s="73">
        <v>6970</v>
      </c>
      <c r="G117" s="73">
        <v>7080</v>
      </c>
      <c r="H117" s="73">
        <v>7100</v>
      </c>
      <c r="I117" s="73">
        <v>7360</v>
      </c>
      <c r="J117" s="73">
        <v>7690</v>
      </c>
      <c r="K117" s="73">
        <v>7960</v>
      </c>
      <c r="L117" s="73">
        <v>8330</v>
      </c>
      <c r="M117" s="73"/>
      <c r="N117" s="73">
        <v>9430</v>
      </c>
      <c r="O117" s="73">
        <v>9310</v>
      </c>
      <c r="P117" s="73">
        <v>10200</v>
      </c>
      <c r="Q117" s="73">
        <v>10900</v>
      </c>
      <c r="R117" s="73">
        <v>11700</v>
      </c>
      <c r="S117" s="73">
        <v>12200</v>
      </c>
      <c r="T117" s="73">
        <v>12700</v>
      </c>
      <c r="U117" s="73">
        <v>13200</v>
      </c>
      <c r="V117" s="65">
        <v>13900</v>
      </c>
      <c r="W117" s="61"/>
      <c r="X117" s="58"/>
      <c r="Y117" s="58"/>
      <c r="Z117" s="58"/>
      <c r="AA117" s="58"/>
      <c r="AB117" s="58"/>
    </row>
    <row r="118" spans="3:28" x14ac:dyDescent="0.35">
      <c r="C118" s="76">
        <v>13</v>
      </c>
      <c r="D118" s="73">
        <v>6770</v>
      </c>
      <c r="E118" s="73">
        <v>6700</v>
      </c>
      <c r="F118" s="73">
        <v>7130</v>
      </c>
      <c r="G118" s="73">
        <v>7250</v>
      </c>
      <c r="H118" s="73">
        <v>7260</v>
      </c>
      <c r="I118" s="73">
        <v>7510</v>
      </c>
      <c r="J118" s="73">
        <v>7860</v>
      </c>
      <c r="K118" s="73">
        <v>8130</v>
      </c>
      <c r="L118" s="73">
        <v>8520</v>
      </c>
      <c r="M118" s="73"/>
      <c r="N118" s="73">
        <v>9650</v>
      </c>
      <c r="O118" s="73">
        <v>9550</v>
      </c>
      <c r="P118" s="73">
        <v>10400</v>
      </c>
      <c r="Q118" s="73">
        <v>11100</v>
      </c>
      <c r="R118" s="73">
        <v>11900</v>
      </c>
      <c r="S118" s="73">
        <v>12400</v>
      </c>
      <c r="T118" s="73">
        <v>12900</v>
      </c>
      <c r="U118" s="73">
        <v>13400</v>
      </c>
      <c r="V118" s="65">
        <v>14000</v>
      </c>
      <c r="W118" s="61"/>
      <c r="X118" s="58"/>
      <c r="Y118" s="58"/>
      <c r="Z118" s="58"/>
      <c r="AA118" s="58"/>
      <c r="AB118" s="58"/>
    </row>
    <row r="119" spans="3:28" x14ac:dyDescent="0.35">
      <c r="C119" s="76">
        <v>14</v>
      </c>
      <c r="D119" s="73">
        <v>6890</v>
      </c>
      <c r="E119" s="73">
        <v>6850</v>
      </c>
      <c r="F119" s="73">
        <v>7300</v>
      </c>
      <c r="G119" s="73">
        <v>7420</v>
      </c>
      <c r="H119" s="73">
        <v>7430</v>
      </c>
      <c r="I119" s="73">
        <v>7670</v>
      </c>
      <c r="J119" s="73">
        <v>8030</v>
      </c>
      <c r="K119" s="73">
        <v>8310</v>
      </c>
      <c r="L119" s="73">
        <v>8710</v>
      </c>
      <c r="M119" s="73"/>
      <c r="N119" s="73">
        <v>9840</v>
      </c>
      <c r="O119" s="73">
        <v>9740</v>
      </c>
      <c r="P119" s="73">
        <v>10600</v>
      </c>
      <c r="Q119" s="73">
        <v>11200</v>
      </c>
      <c r="R119" s="73">
        <v>12100</v>
      </c>
      <c r="S119" s="73">
        <v>12500</v>
      </c>
      <c r="T119" s="73">
        <v>13100</v>
      </c>
      <c r="U119" s="73">
        <v>13600</v>
      </c>
      <c r="V119" s="65">
        <v>14200</v>
      </c>
      <c r="W119" s="61"/>
      <c r="X119" s="58"/>
      <c r="Y119" s="58"/>
      <c r="Z119" s="58"/>
      <c r="AA119" s="58"/>
      <c r="AB119" s="58"/>
    </row>
    <row r="120" spans="3:28" x14ac:dyDescent="0.35">
      <c r="C120" s="76">
        <v>15</v>
      </c>
      <c r="D120" s="73">
        <v>7050</v>
      </c>
      <c r="E120" s="73">
        <v>6990</v>
      </c>
      <c r="F120" s="73">
        <v>7470</v>
      </c>
      <c r="G120" s="73">
        <v>7590</v>
      </c>
      <c r="H120" s="73">
        <v>7590</v>
      </c>
      <c r="I120" s="73">
        <v>7830</v>
      </c>
      <c r="J120" s="73">
        <v>8190</v>
      </c>
      <c r="K120" s="73">
        <v>8490</v>
      </c>
      <c r="L120" s="73">
        <v>8900</v>
      </c>
      <c r="M120" s="73"/>
      <c r="N120" s="73">
        <v>10000</v>
      </c>
      <c r="O120" s="73">
        <v>9920</v>
      </c>
      <c r="P120" s="73">
        <v>10700</v>
      </c>
      <c r="Q120" s="73">
        <v>11400</v>
      </c>
      <c r="R120" s="73">
        <v>12200</v>
      </c>
      <c r="S120" s="73">
        <v>12700</v>
      </c>
      <c r="T120" s="73">
        <v>13300</v>
      </c>
      <c r="U120" s="73">
        <v>13800</v>
      </c>
      <c r="V120" s="65">
        <v>14400</v>
      </c>
      <c r="W120" s="61"/>
      <c r="X120" s="58"/>
      <c r="Y120" s="58"/>
      <c r="Z120" s="58"/>
      <c r="AA120" s="58"/>
      <c r="AB120" s="58"/>
    </row>
    <row r="121" spans="3:28" x14ac:dyDescent="0.35">
      <c r="C121" s="76">
        <v>16</v>
      </c>
      <c r="D121" s="73">
        <v>7190</v>
      </c>
      <c r="E121" s="73">
        <v>7130</v>
      </c>
      <c r="F121" s="73">
        <v>7640</v>
      </c>
      <c r="G121" s="73">
        <v>7760</v>
      </c>
      <c r="H121" s="73">
        <v>7760</v>
      </c>
      <c r="I121" s="73">
        <v>7990</v>
      </c>
      <c r="J121" s="73">
        <v>8370</v>
      </c>
      <c r="K121" s="73">
        <v>8660</v>
      </c>
      <c r="L121" s="73">
        <v>9100</v>
      </c>
      <c r="M121" s="73"/>
      <c r="N121" s="73">
        <v>10200</v>
      </c>
      <c r="O121" s="73">
        <v>10100</v>
      </c>
      <c r="P121" s="73">
        <v>10900</v>
      </c>
      <c r="Q121" s="73">
        <v>11600</v>
      </c>
      <c r="R121" s="73">
        <v>12400</v>
      </c>
      <c r="S121" s="73">
        <v>12900</v>
      </c>
      <c r="T121" s="73">
        <v>13400</v>
      </c>
      <c r="U121" s="73">
        <v>14000</v>
      </c>
      <c r="V121" s="65">
        <v>14600</v>
      </c>
      <c r="W121" s="61"/>
      <c r="X121" s="58"/>
      <c r="Y121" s="58"/>
      <c r="Z121" s="58"/>
      <c r="AA121" s="58"/>
      <c r="AB121" s="58"/>
    </row>
    <row r="122" spans="3:28" x14ac:dyDescent="0.35">
      <c r="C122" s="76">
        <v>17</v>
      </c>
      <c r="D122" s="73">
        <v>7320</v>
      </c>
      <c r="E122" s="73">
        <v>7270</v>
      </c>
      <c r="F122" s="73">
        <v>7810</v>
      </c>
      <c r="G122" s="73">
        <v>7930</v>
      </c>
      <c r="H122" s="73">
        <v>7930</v>
      </c>
      <c r="I122" s="73">
        <v>8150</v>
      </c>
      <c r="J122" s="73">
        <v>8540</v>
      </c>
      <c r="K122" s="73">
        <v>8850</v>
      </c>
      <c r="L122" s="73">
        <v>9290</v>
      </c>
      <c r="M122" s="73"/>
      <c r="N122" s="73">
        <v>10400</v>
      </c>
      <c r="O122" s="73">
        <v>10300</v>
      </c>
      <c r="P122" s="73">
        <v>11100</v>
      </c>
      <c r="Q122" s="73">
        <v>11800</v>
      </c>
      <c r="R122" s="73">
        <v>12600</v>
      </c>
      <c r="S122" s="73">
        <v>13000</v>
      </c>
      <c r="T122" s="73">
        <v>13600</v>
      </c>
      <c r="U122" s="73">
        <v>14200</v>
      </c>
      <c r="V122" s="65">
        <v>14800</v>
      </c>
      <c r="W122" s="61"/>
      <c r="X122" s="58"/>
      <c r="Y122" s="58"/>
      <c r="Z122" s="58"/>
      <c r="AA122" s="58"/>
      <c r="AB122" s="58"/>
    </row>
    <row r="123" spans="3:28" x14ac:dyDescent="0.35">
      <c r="C123" s="76">
        <v>18</v>
      </c>
      <c r="D123" s="73">
        <v>7470</v>
      </c>
      <c r="E123" s="73">
        <v>7430</v>
      </c>
      <c r="F123" s="73">
        <v>7970</v>
      </c>
      <c r="G123" s="73">
        <v>8100</v>
      </c>
      <c r="H123" s="73">
        <v>8100</v>
      </c>
      <c r="I123" s="73">
        <v>8310</v>
      </c>
      <c r="J123" s="73">
        <v>8720</v>
      </c>
      <c r="K123" s="73">
        <v>9020</v>
      </c>
      <c r="L123" s="73">
        <v>9480</v>
      </c>
      <c r="M123" s="73"/>
      <c r="N123" s="73">
        <v>10600</v>
      </c>
      <c r="O123" s="73">
        <v>10500</v>
      </c>
      <c r="P123" s="73">
        <v>11300</v>
      </c>
      <c r="Q123" s="73">
        <v>11900</v>
      </c>
      <c r="R123" s="73">
        <v>12700</v>
      </c>
      <c r="S123" s="73">
        <v>13200</v>
      </c>
      <c r="T123" s="73">
        <v>13800</v>
      </c>
      <c r="U123" s="73">
        <v>14300</v>
      </c>
      <c r="V123" s="65">
        <v>15000</v>
      </c>
      <c r="W123" s="61"/>
      <c r="X123" s="58"/>
      <c r="Y123" s="58"/>
      <c r="Z123" s="58"/>
      <c r="AA123" s="58"/>
      <c r="AB123" s="58"/>
    </row>
    <row r="124" spans="3:28" x14ac:dyDescent="0.35">
      <c r="C124" s="76">
        <v>19</v>
      </c>
      <c r="D124" s="73">
        <v>7620</v>
      </c>
      <c r="E124" s="73">
        <v>7580</v>
      </c>
      <c r="F124" s="73">
        <v>8140</v>
      </c>
      <c r="G124" s="73">
        <v>8260</v>
      </c>
      <c r="H124" s="73">
        <v>8270</v>
      </c>
      <c r="I124" s="73">
        <v>8480</v>
      </c>
      <c r="J124" s="73">
        <v>8880</v>
      </c>
      <c r="K124" s="73">
        <v>9210</v>
      </c>
      <c r="L124" s="73">
        <v>9670</v>
      </c>
      <c r="M124" s="73"/>
      <c r="N124" s="73">
        <v>10800</v>
      </c>
      <c r="O124" s="73">
        <v>10600</v>
      </c>
      <c r="P124" s="73">
        <v>11400</v>
      </c>
      <c r="Q124" s="73">
        <v>12100</v>
      </c>
      <c r="R124" s="73">
        <v>12900</v>
      </c>
      <c r="S124" s="73">
        <v>13400</v>
      </c>
      <c r="T124" s="73">
        <v>14000</v>
      </c>
      <c r="U124" s="73">
        <v>14500</v>
      </c>
      <c r="V124" s="65">
        <v>15200</v>
      </c>
      <c r="W124" s="61"/>
      <c r="X124" s="58"/>
      <c r="Y124" s="58"/>
      <c r="Z124" s="58"/>
      <c r="AA124" s="58"/>
      <c r="AB124" s="58"/>
    </row>
    <row r="125" spans="3:28" x14ac:dyDescent="0.35">
      <c r="C125" s="76">
        <v>20</v>
      </c>
      <c r="D125" s="73">
        <v>7760</v>
      </c>
      <c r="E125" s="73">
        <v>7740</v>
      </c>
      <c r="F125" s="73">
        <v>8300</v>
      </c>
      <c r="G125" s="73">
        <v>8410</v>
      </c>
      <c r="H125" s="73">
        <v>8430</v>
      </c>
      <c r="I125" s="73">
        <v>8640</v>
      </c>
      <c r="J125" s="73">
        <v>9070</v>
      </c>
      <c r="K125" s="73">
        <v>9380</v>
      </c>
      <c r="L125" s="73">
        <v>9860</v>
      </c>
      <c r="M125" s="73"/>
      <c r="N125" s="73">
        <v>10900</v>
      </c>
      <c r="O125" s="73">
        <v>10800</v>
      </c>
      <c r="P125" s="73">
        <v>11600</v>
      </c>
      <c r="Q125" s="73">
        <v>12300</v>
      </c>
      <c r="R125" s="73">
        <v>13100</v>
      </c>
      <c r="S125" s="73">
        <v>13600</v>
      </c>
      <c r="T125" s="73">
        <v>14100</v>
      </c>
      <c r="U125" s="73">
        <v>14700</v>
      </c>
      <c r="V125" s="65">
        <v>15400</v>
      </c>
      <c r="W125" s="61"/>
      <c r="X125" s="58"/>
      <c r="Y125" s="58"/>
      <c r="Z125" s="58"/>
      <c r="AA125" s="58"/>
      <c r="AB125" s="58"/>
    </row>
    <row r="126" spans="3:28" x14ac:dyDescent="0.35">
      <c r="C126" s="76">
        <v>21</v>
      </c>
      <c r="D126" s="73">
        <v>7910</v>
      </c>
      <c r="E126" s="73">
        <v>7880</v>
      </c>
      <c r="F126" s="73">
        <v>8460</v>
      </c>
      <c r="G126" s="73">
        <v>8580</v>
      </c>
      <c r="H126" s="73">
        <v>8600</v>
      </c>
      <c r="I126" s="73">
        <v>8800</v>
      </c>
      <c r="J126" s="73">
        <v>9240</v>
      </c>
      <c r="K126" s="73">
        <v>9560</v>
      </c>
      <c r="L126" s="73">
        <v>10000</v>
      </c>
      <c r="M126" s="73"/>
      <c r="N126" s="73">
        <v>11100</v>
      </c>
      <c r="O126" s="73">
        <v>11000</v>
      </c>
      <c r="P126" s="73">
        <v>11800</v>
      </c>
      <c r="Q126" s="73">
        <v>12500</v>
      </c>
      <c r="R126" s="73">
        <v>13300</v>
      </c>
      <c r="S126" s="73">
        <v>13800</v>
      </c>
      <c r="T126" s="73">
        <v>14300</v>
      </c>
      <c r="U126" s="73">
        <v>14900</v>
      </c>
      <c r="V126" s="65">
        <v>15500</v>
      </c>
      <c r="W126" s="61"/>
      <c r="X126" s="58"/>
      <c r="Y126" s="58"/>
      <c r="Z126" s="58"/>
      <c r="AA126" s="58"/>
      <c r="AB126" s="58"/>
    </row>
    <row r="127" spans="3:28" x14ac:dyDescent="0.35">
      <c r="C127" s="76">
        <v>22</v>
      </c>
      <c r="D127" s="73">
        <v>8060</v>
      </c>
      <c r="E127" s="73">
        <v>8040</v>
      </c>
      <c r="F127" s="73">
        <v>8630</v>
      </c>
      <c r="G127" s="73">
        <v>8740</v>
      </c>
      <c r="H127" s="73">
        <v>8770</v>
      </c>
      <c r="I127" s="73">
        <v>8970</v>
      </c>
      <c r="J127" s="73">
        <v>9410</v>
      </c>
      <c r="K127" s="73">
        <v>9750</v>
      </c>
      <c r="L127" s="73">
        <v>10200</v>
      </c>
      <c r="M127" s="73"/>
      <c r="N127" s="73">
        <v>11300</v>
      </c>
      <c r="O127" s="73">
        <v>11200</v>
      </c>
      <c r="P127" s="73">
        <v>12000</v>
      </c>
      <c r="Q127" s="73">
        <v>12600</v>
      </c>
      <c r="R127" s="73">
        <v>13400</v>
      </c>
      <c r="S127" s="73">
        <v>13900</v>
      </c>
      <c r="T127" s="73">
        <v>14500</v>
      </c>
      <c r="U127" s="73">
        <v>15100</v>
      </c>
      <c r="V127" s="65">
        <v>15700</v>
      </c>
      <c r="W127" s="61"/>
      <c r="X127" s="58"/>
      <c r="Y127" s="58"/>
      <c r="Z127" s="58"/>
      <c r="AA127" s="58"/>
      <c r="AB127" s="58"/>
    </row>
    <row r="128" spans="3:28" x14ac:dyDescent="0.35">
      <c r="C128" s="76">
        <v>23</v>
      </c>
      <c r="D128" s="73">
        <v>8200</v>
      </c>
      <c r="E128" s="73">
        <v>8200</v>
      </c>
      <c r="F128" s="73">
        <v>8790</v>
      </c>
      <c r="G128" s="73">
        <v>8900</v>
      </c>
      <c r="H128" s="73">
        <v>8940</v>
      </c>
      <c r="I128" s="73">
        <v>9130</v>
      </c>
      <c r="J128" s="73">
        <v>9580</v>
      </c>
      <c r="K128" s="73">
        <v>9920</v>
      </c>
      <c r="L128" s="73">
        <v>10400</v>
      </c>
      <c r="M128" s="73"/>
      <c r="N128" s="73">
        <v>11500</v>
      </c>
      <c r="O128" s="73">
        <v>11300</v>
      </c>
      <c r="P128" s="73">
        <v>12200</v>
      </c>
      <c r="Q128" s="73">
        <v>12800</v>
      </c>
      <c r="R128" s="73">
        <v>13600</v>
      </c>
      <c r="S128" s="73">
        <v>14100</v>
      </c>
      <c r="T128" s="73">
        <v>14700</v>
      </c>
      <c r="U128" s="73">
        <v>15300</v>
      </c>
      <c r="V128" s="65">
        <v>15900</v>
      </c>
      <c r="W128" s="61"/>
      <c r="X128" s="58"/>
      <c r="Y128" s="58"/>
      <c r="Z128" s="58"/>
      <c r="AA128" s="58"/>
      <c r="AB128" s="58"/>
    </row>
    <row r="129" spans="3:28" x14ac:dyDescent="0.35">
      <c r="C129" s="76">
        <v>24</v>
      </c>
      <c r="D129" s="73">
        <v>8350</v>
      </c>
      <c r="E129" s="73">
        <v>8350</v>
      </c>
      <c r="F129" s="73">
        <v>8960</v>
      </c>
      <c r="G129" s="73">
        <v>9070</v>
      </c>
      <c r="H129" s="73">
        <v>9110</v>
      </c>
      <c r="I129" s="73">
        <v>9300</v>
      </c>
      <c r="J129" s="73">
        <v>9750</v>
      </c>
      <c r="K129" s="73">
        <v>10100</v>
      </c>
      <c r="L129" s="73">
        <v>10600</v>
      </c>
      <c r="M129" s="73"/>
      <c r="N129" s="73">
        <v>11700</v>
      </c>
      <c r="O129" s="73">
        <v>11500</v>
      </c>
      <c r="P129" s="73">
        <v>12300</v>
      </c>
      <c r="Q129" s="73">
        <v>13000</v>
      </c>
      <c r="R129" s="73">
        <v>13800</v>
      </c>
      <c r="S129" s="73">
        <v>14300</v>
      </c>
      <c r="T129" s="73">
        <v>14900</v>
      </c>
      <c r="U129" s="73">
        <v>15500</v>
      </c>
      <c r="V129" s="65">
        <v>16100</v>
      </c>
      <c r="W129" s="61"/>
      <c r="X129" s="58"/>
      <c r="Y129" s="58"/>
      <c r="Z129" s="58"/>
      <c r="AA129" s="58"/>
      <c r="AB129" s="58"/>
    </row>
    <row r="130" spans="3:28" x14ac:dyDescent="0.35">
      <c r="C130" s="76">
        <v>25</v>
      </c>
      <c r="D130" s="73">
        <v>8490</v>
      </c>
      <c r="E130" s="73">
        <v>8510</v>
      </c>
      <c r="F130" s="73">
        <v>9120</v>
      </c>
      <c r="G130" s="73">
        <v>9230</v>
      </c>
      <c r="H130" s="73">
        <v>9290</v>
      </c>
      <c r="I130" s="73">
        <v>9470</v>
      </c>
      <c r="J130" s="73">
        <v>9930</v>
      </c>
      <c r="K130" s="73">
        <v>10300</v>
      </c>
      <c r="L130" s="73">
        <v>10800</v>
      </c>
      <c r="M130" s="73"/>
      <c r="N130" s="73">
        <v>11800</v>
      </c>
      <c r="O130" s="73">
        <v>11700</v>
      </c>
      <c r="P130" s="73">
        <v>12500</v>
      </c>
      <c r="Q130" s="73">
        <v>13200</v>
      </c>
      <c r="R130" s="73">
        <v>14000</v>
      </c>
      <c r="S130" s="73">
        <v>14500</v>
      </c>
      <c r="T130" s="73">
        <v>15100</v>
      </c>
      <c r="U130" s="73">
        <v>15600</v>
      </c>
      <c r="V130" s="65">
        <v>16300</v>
      </c>
      <c r="W130" s="61"/>
      <c r="X130" s="58"/>
      <c r="Y130" s="58"/>
      <c r="Z130" s="58"/>
      <c r="AA130" s="58"/>
      <c r="AB130" s="58"/>
    </row>
    <row r="131" spans="3:28" x14ac:dyDescent="0.35">
      <c r="C131" s="76">
        <v>26</v>
      </c>
      <c r="D131" s="73">
        <v>8650</v>
      </c>
      <c r="E131" s="73">
        <v>8670</v>
      </c>
      <c r="F131" s="73">
        <v>9290</v>
      </c>
      <c r="G131" s="73">
        <v>9400</v>
      </c>
      <c r="H131" s="73">
        <v>9460</v>
      </c>
      <c r="I131" s="73">
        <v>9650</v>
      </c>
      <c r="J131" s="73">
        <v>10100</v>
      </c>
      <c r="K131" s="73">
        <v>10500</v>
      </c>
      <c r="L131" s="73">
        <v>11000</v>
      </c>
      <c r="M131" s="73"/>
      <c r="N131" s="73">
        <v>12000</v>
      </c>
      <c r="O131" s="73">
        <v>11900</v>
      </c>
      <c r="P131" s="73">
        <v>12700</v>
      </c>
      <c r="Q131" s="73">
        <v>13400</v>
      </c>
      <c r="R131" s="73">
        <v>14200</v>
      </c>
      <c r="S131" s="73">
        <v>14700</v>
      </c>
      <c r="T131" s="73">
        <v>15300</v>
      </c>
      <c r="U131" s="73">
        <v>15800</v>
      </c>
      <c r="V131" s="65">
        <v>16500</v>
      </c>
      <c r="W131" s="61"/>
      <c r="X131" s="58"/>
      <c r="Y131" s="58"/>
      <c r="Z131" s="58"/>
      <c r="AA131" s="58"/>
      <c r="AB131" s="58"/>
    </row>
    <row r="132" spans="3:28" x14ac:dyDescent="0.35">
      <c r="C132" s="76">
        <v>27</v>
      </c>
      <c r="D132" s="73">
        <v>8790</v>
      </c>
      <c r="E132" s="73">
        <v>8840</v>
      </c>
      <c r="F132" s="73">
        <v>9470</v>
      </c>
      <c r="G132" s="73">
        <v>9580</v>
      </c>
      <c r="H132" s="73">
        <v>9650</v>
      </c>
      <c r="I132" s="73">
        <v>9830</v>
      </c>
      <c r="J132" s="73">
        <v>10300</v>
      </c>
      <c r="K132" s="73">
        <v>10600</v>
      </c>
      <c r="L132" s="73">
        <v>11200</v>
      </c>
      <c r="M132" s="73"/>
      <c r="N132" s="73">
        <v>12200</v>
      </c>
      <c r="O132" s="73">
        <v>12100</v>
      </c>
      <c r="P132" s="73">
        <v>12900</v>
      </c>
      <c r="Q132" s="73">
        <v>13600</v>
      </c>
      <c r="R132" s="73">
        <v>14400</v>
      </c>
      <c r="S132" s="73">
        <v>14900</v>
      </c>
      <c r="T132" s="73">
        <v>15500</v>
      </c>
      <c r="U132" s="73">
        <v>16000</v>
      </c>
      <c r="V132" s="65">
        <v>16700</v>
      </c>
      <c r="W132" s="61"/>
      <c r="X132" s="58"/>
      <c r="Y132" s="58"/>
      <c r="Z132" s="58"/>
      <c r="AA132" s="58"/>
      <c r="AB132" s="58"/>
    </row>
    <row r="133" spans="3:28" x14ac:dyDescent="0.35">
      <c r="C133" s="76">
        <v>28</v>
      </c>
      <c r="D133" s="73">
        <v>8950</v>
      </c>
      <c r="E133" s="73">
        <v>9010</v>
      </c>
      <c r="F133" s="73">
        <v>9640</v>
      </c>
      <c r="G133" s="73">
        <v>9760</v>
      </c>
      <c r="H133" s="73">
        <v>9830</v>
      </c>
      <c r="I133" s="73">
        <v>10000</v>
      </c>
      <c r="J133" s="73">
        <v>10500</v>
      </c>
      <c r="K133" s="73">
        <v>10800</v>
      </c>
      <c r="L133" s="73">
        <v>11400</v>
      </c>
      <c r="M133" s="73"/>
      <c r="N133" s="73">
        <v>12400</v>
      </c>
      <c r="O133" s="73">
        <v>12300</v>
      </c>
      <c r="P133" s="73">
        <v>13100</v>
      </c>
      <c r="Q133" s="73">
        <v>13800</v>
      </c>
      <c r="R133" s="73">
        <v>14600</v>
      </c>
      <c r="S133" s="73">
        <v>15100</v>
      </c>
      <c r="T133" s="73">
        <v>15700</v>
      </c>
      <c r="U133" s="73">
        <v>16200</v>
      </c>
      <c r="V133" s="65">
        <v>16900</v>
      </c>
      <c r="W133" s="61"/>
      <c r="X133" s="58"/>
      <c r="Y133" s="58"/>
      <c r="Z133" s="58"/>
      <c r="AA133" s="58"/>
      <c r="AB133" s="58"/>
    </row>
    <row r="134" spans="3:28" x14ac:dyDescent="0.35">
      <c r="C134" s="76">
        <v>29</v>
      </c>
      <c r="D134" s="73">
        <v>9090</v>
      </c>
      <c r="E134" s="73">
        <v>9180</v>
      </c>
      <c r="F134" s="73">
        <v>9820</v>
      </c>
      <c r="G134" s="73">
        <v>9940</v>
      </c>
      <c r="H134" s="73">
        <v>10000</v>
      </c>
      <c r="I134" s="73">
        <v>10200</v>
      </c>
      <c r="J134" s="73">
        <v>10700</v>
      </c>
      <c r="K134" s="73">
        <v>11000</v>
      </c>
      <c r="L134" s="73">
        <v>11600</v>
      </c>
      <c r="M134" s="73"/>
      <c r="N134" s="73">
        <v>12600</v>
      </c>
      <c r="O134" s="73">
        <v>12500</v>
      </c>
      <c r="P134" s="73">
        <v>13300</v>
      </c>
      <c r="Q134" s="73">
        <v>13900</v>
      </c>
      <c r="R134" s="73">
        <v>14800</v>
      </c>
      <c r="S134" s="73">
        <v>15200</v>
      </c>
      <c r="T134" s="73">
        <v>15800</v>
      </c>
      <c r="U134" s="73">
        <v>16400</v>
      </c>
      <c r="V134" s="65">
        <v>17100</v>
      </c>
      <c r="W134" s="61"/>
      <c r="X134" s="58"/>
      <c r="Y134" s="58"/>
      <c r="Z134" s="58"/>
      <c r="AA134" s="58"/>
      <c r="AB134" s="58"/>
    </row>
    <row r="135" spans="3:28" x14ac:dyDescent="0.35">
      <c r="C135" s="76">
        <v>30</v>
      </c>
      <c r="D135" s="73">
        <v>9230</v>
      </c>
      <c r="E135" s="73">
        <v>9340</v>
      </c>
      <c r="F135" s="73">
        <v>9990</v>
      </c>
      <c r="G135" s="73">
        <v>10100</v>
      </c>
      <c r="H135" s="73">
        <v>10200</v>
      </c>
      <c r="I135" s="73">
        <v>10400</v>
      </c>
      <c r="J135" s="73">
        <v>10800</v>
      </c>
      <c r="K135" s="73">
        <v>11200</v>
      </c>
      <c r="L135" s="73">
        <v>11800</v>
      </c>
      <c r="M135" s="73"/>
      <c r="N135" s="73">
        <v>12800</v>
      </c>
      <c r="O135" s="73">
        <v>12700</v>
      </c>
      <c r="P135" s="73">
        <v>13500</v>
      </c>
      <c r="Q135" s="73">
        <v>14100</v>
      </c>
      <c r="R135" s="73">
        <v>14900</v>
      </c>
      <c r="S135" s="73">
        <v>15400</v>
      </c>
      <c r="T135" s="73">
        <v>16000</v>
      </c>
      <c r="U135" s="73">
        <v>16600</v>
      </c>
      <c r="V135" s="65">
        <v>17300</v>
      </c>
      <c r="W135" s="61"/>
      <c r="X135" s="58"/>
      <c r="Y135" s="58"/>
      <c r="Z135" s="58"/>
      <c r="AA135" s="58"/>
      <c r="AB135" s="58"/>
    </row>
    <row r="136" spans="3:28" x14ac:dyDescent="0.35">
      <c r="C136" s="76">
        <v>31</v>
      </c>
      <c r="D136" s="73">
        <v>9390</v>
      </c>
      <c r="E136" s="73">
        <v>9510</v>
      </c>
      <c r="F136" s="73">
        <v>10200</v>
      </c>
      <c r="G136" s="73">
        <v>10300</v>
      </c>
      <c r="H136" s="73">
        <v>10400</v>
      </c>
      <c r="I136" s="73">
        <v>10600</v>
      </c>
      <c r="J136" s="73">
        <v>11000</v>
      </c>
      <c r="K136" s="73">
        <v>11400</v>
      </c>
      <c r="L136" s="73">
        <v>11900</v>
      </c>
      <c r="M136" s="73"/>
      <c r="N136" s="73">
        <v>13000</v>
      </c>
      <c r="O136" s="73">
        <v>12900</v>
      </c>
      <c r="P136" s="73">
        <v>13700</v>
      </c>
      <c r="Q136" s="73">
        <v>14300</v>
      </c>
      <c r="R136" s="73">
        <v>15200</v>
      </c>
      <c r="S136" s="73">
        <v>15600</v>
      </c>
      <c r="T136" s="73">
        <v>16300</v>
      </c>
      <c r="U136" s="73">
        <v>16800</v>
      </c>
      <c r="V136" s="65">
        <v>17500</v>
      </c>
      <c r="W136" s="61"/>
      <c r="X136" s="58"/>
      <c r="Y136" s="58"/>
      <c r="Z136" s="58"/>
      <c r="AA136" s="58"/>
      <c r="AB136" s="58"/>
    </row>
    <row r="137" spans="3:28" x14ac:dyDescent="0.35">
      <c r="C137" s="76">
        <v>32</v>
      </c>
      <c r="D137" s="73">
        <v>9550</v>
      </c>
      <c r="E137" s="73">
        <v>9670</v>
      </c>
      <c r="F137" s="73">
        <v>10300</v>
      </c>
      <c r="G137" s="73">
        <v>10500</v>
      </c>
      <c r="H137" s="73">
        <v>10600</v>
      </c>
      <c r="I137" s="73">
        <v>10700</v>
      </c>
      <c r="J137" s="73">
        <v>11200</v>
      </c>
      <c r="K137" s="73">
        <v>11600</v>
      </c>
      <c r="L137" s="73">
        <v>12100</v>
      </c>
      <c r="M137" s="73"/>
      <c r="N137" s="73">
        <v>13200</v>
      </c>
      <c r="O137" s="73">
        <v>13100</v>
      </c>
      <c r="P137" s="73">
        <v>13900</v>
      </c>
      <c r="Q137" s="73">
        <v>14500</v>
      </c>
      <c r="R137" s="73">
        <v>15300</v>
      </c>
      <c r="S137" s="73">
        <v>15800</v>
      </c>
      <c r="T137" s="73">
        <v>16500</v>
      </c>
      <c r="U137" s="73">
        <v>17000</v>
      </c>
      <c r="V137" s="65">
        <v>17700</v>
      </c>
      <c r="W137" s="61"/>
      <c r="X137" s="58"/>
      <c r="Y137" s="58"/>
      <c r="Z137" s="58"/>
      <c r="AA137" s="58"/>
      <c r="AB137" s="58"/>
    </row>
    <row r="138" spans="3:28" x14ac:dyDescent="0.35">
      <c r="C138" s="76">
        <v>33</v>
      </c>
      <c r="D138" s="73">
        <v>9720</v>
      </c>
      <c r="E138" s="73">
        <v>9850</v>
      </c>
      <c r="F138" s="73">
        <v>10500</v>
      </c>
      <c r="G138" s="73">
        <v>10600</v>
      </c>
      <c r="H138" s="73">
        <v>10700</v>
      </c>
      <c r="I138" s="73">
        <v>10900</v>
      </c>
      <c r="J138" s="73">
        <v>11400</v>
      </c>
      <c r="K138" s="73">
        <v>11800</v>
      </c>
      <c r="L138" s="73">
        <v>12300</v>
      </c>
      <c r="M138" s="73"/>
      <c r="N138" s="73">
        <v>13400</v>
      </c>
      <c r="O138" s="73">
        <v>13300</v>
      </c>
      <c r="P138" s="73">
        <v>14100</v>
      </c>
      <c r="Q138" s="73">
        <v>14700</v>
      </c>
      <c r="R138" s="73">
        <v>15500</v>
      </c>
      <c r="S138" s="73">
        <v>16000</v>
      </c>
      <c r="T138" s="73">
        <v>16700</v>
      </c>
      <c r="U138" s="73">
        <v>17200</v>
      </c>
      <c r="V138" s="65">
        <v>17900</v>
      </c>
      <c r="W138" s="61"/>
      <c r="X138" s="58"/>
      <c r="Y138" s="58"/>
      <c r="Z138" s="58"/>
      <c r="AA138" s="58"/>
      <c r="AB138" s="58"/>
    </row>
    <row r="139" spans="3:28" x14ac:dyDescent="0.35">
      <c r="C139" s="76">
        <v>34</v>
      </c>
      <c r="D139" s="73">
        <v>9850</v>
      </c>
      <c r="E139" s="73">
        <v>10000</v>
      </c>
      <c r="F139" s="73">
        <v>10700</v>
      </c>
      <c r="G139" s="73">
        <v>10800</v>
      </c>
      <c r="H139" s="73">
        <v>10900</v>
      </c>
      <c r="I139" s="73">
        <v>11100</v>
      </c>
      <c r="J139" s="73">
        <v>11600</v>
      </c>
      <c r="K139" s="73">
        <v>12000</v>
      </c>
      <c r="L139" s="73">
        <v>12500</v>
      </c>
      <c r="M139" s="73"/>
      <c r="N139" s="73">
        <v>13600</v>
      </c>
      <c r="O139" s="73">
        <v>13500</v>
      </c>
      <c r="P139" s="73">
        <v>14300</v>
      </c>
      <c r="Q139" s="73">
        <v>14900</v>
      </c>
      <c r="R139" s="73">
        <v>15700</v>
      </c>
      <c r="S139" s="73">
        <v>16200</v>
      </c>
      <c r="T139" s="73">
        <v>16900</v>
      </c>
      <c r="U139" s="73">
        <v>17400</v>
      </c>
      <c r="V139" s="65">
        <v>18100</v>
      </c>
      <c r="W139" s="61"/>
      <c r="X139" s="58"/>
      <c r="Y139" s="58"/>
      <c r="Z139" s="58"/>
      <c r="AA139" s="58"/>
      <c r="AB139" s="58"/>
    </row>
    <row r="140" spans="3:28" x14ac:dyDescent="0.35">
      <c r="C140" s="76">
        <v>35</v>
      </c>
      <c r="D140" s="73">
        <v>10000</v>
      </c>
      <c r="E140" s="73">
        <v>10200</v>
      </c>
      <c r="F140" s="73">
        <v>10800</v>
      </c>
      <c r="G140" s="73">
        <v>11000</v>
      </c>
      <c r="H140" s="73">
        <v>11100</v>
      </c>
      <c r="I140" s="73">
        <v>11300</v>
      </c>
      <c r="J140" s="73">
        <v>11800</v>
      </c>
      <c r="K140" s="73">
        <v>12200</v>
      </c>
      <c r="L140" s="73">
        <v>12700</v>
      </c>
      <c r="M140" s="73"/>
      <c r="N140" s="73">
        <v>13800</v>
      </c>
      <c r="O140" s="73">
        <v>13700</v>
      </c>
      <c r="P140" s="73">
        <v>14500</v>
      </c>
      <c r="Q140" s="73">
        <v>15100</v>
      </c>
      <c r="R140" s="73">
        <v>16000</v>
      </c>
      <c r="S140" s="73">
        <v>16400</v>
      </c>
      <c r="T140" s="73">
        <v>17100</v>
      </c>
      <c r="U140" s="73">
        <v>17600</v>
      </c>
      <c r="V140" s="65">
        <v>18300</v>
      </c>
      <c r="W140" s="61"/>
      <c r="X140" s="58"/>
      <c r="Y140" s="58"/>
      <c r="Z140" s="58"/>
      <c r="AA140" s="58"/>
      <c r="AB140" s="58"/>
    </row>
    <row r="141" spans="3:28" x14ac:dyDescent="0.35">
      <c r="C141" s="76">
        <v>36</v>
      </c>
      <c r="D141" s="73">
        <v>10200</v>
      </c>
      <c r="E141" s="73">
        <v>10400</v>
      </c>
      <c r="F141" s="73">
        <v>11000</v>
      </c>
      <c r="G141" s="73">
        <v>11100</v>
      </c>
      <c r="H141" s="73">
        <v>11300</v>
      </c>
      <c r="I141" s="73">
        <v>11500</v>
      </c>
      <c r="J141" s="73">
        <v>11900</v>
      </c>
      <c r="K141" s="73">
        <v>12400</v>
      </c>
      <c r="L141" s="73">
        <v>12900</v>
      </c>
      <c r="M141" s="73"/>
      <c r="N141" s="73">
        <v>14000</v>
      </c>
      <c r="O141" s="73">
        <v>13900</v>
      </c>
      <c r="P141" s="73">
        <v>14700</v>
      </c>
      <c r="Q141" s="73">
        <v>15400</v>
      </c>
      <c r="R141" s="73">
        <v>16200</v>
      </c>
      <c r="S141" s="73">
        <v>16700</v>
      </c>
      <c r="T141" s="73">
        <v>17300</v>
      </c>
      <c r="U141" s="73">
        <v>17800</v>
      </c>
      <c r="V141" s="65">
        <v>18600</v>
      </c>
      <c r="W141" s="61"/>
      <c r="X141" s="58"/>
      <c r="Y141" s="58"/>
      <c r="Z141" s="58"/>
      <c r="AA141" s="58"/>
      <c r="AB141" s="58"/>
    </row>
    <row r="142" spans="3:28" x14ac:dyDescent="0.35">
      <c r="C142" s="76">
        <v>37</v>
      </c>
      <c r="D142" s="73">
        <v>10300</v>
      </c>
      <c r="E142" s="73">
        <v>10500</v>
      </c>
      <c r="F142" s="73">
        <v>11200</v>
      </c>
      <c r="G142" s="73">
        <v>11300</v>
      </c>
      <c r="H142" s="73">
        <v>11400</v>
      </c>
      <c r="I142" s="73">
        <v>11700</v>
      </c>
      <c r="J142" s="73">
        <v>12100</v>
      </c>
      <c r="K142" s="73">
        <v>12600</v>
      </c>
      <c r="L142" s="73">
        <v>13100</v>
      </c>
      <c r="M142" s="73"/>
      <c r="N142" s="73">
        <v>14200</v>
      </c>
      <c r="O142" s="73">
        <v>14100</v>
      </c>
      <c r="P142" s="73">
        <v>14900</v>
      </c>
      <c r="Q142" s="73">
        <v>15600</v>
      </c>
      <c r="R142" s="73">
        <v>16400</v>
      </c>
      <c r="S142" s="73">
        <v>16900</v>
      </c>
      <c r="T142" s="73">
        <v>17500</v>
      </c>
      <c r="U142" s="73">
        <v>18000</v>
      </c>
      <c r="V142" s="65">
        <v>18800</v>
      </c>
      <c r="W142" s="61"/>
      <c r="X142" s="58"/>
      <c r="Y142" s="58"/>
      <c r="Z142" s="58"/>
      <c r="AA142" s="58"/>
      <c r="AB142" s="58"/>
    </row>
    <row r="143" spans="3:28" x14ac:dyDescent="0.35">
      <c r="C143" s="76">
        <v>38</v>
      </c>
      <c r="D143" s="73">
        <v>10500</v>
      </c>
      <c r="E143" s="73">
        <v>10700</v>
      </c>
      <c r="F143" s="73">
        <v>11300</v>
      </c>
      <c r="G143" s="73">
        <v>11500</v>
      </c>
      <c r="H143" s="73">
        <v>11600</v>
      </c>
      <c r="I143" s="73">
        <v>11800</v>
      </c>
      <c r="J143" s="73">
        <v>12300</v>
      </c>
      <c r="K143" s="73">
        <v>12800</v>
      </c>
      <c r="L143" s="73">
        <v>13300</v>
      </c>
      <c r="M143" s="73"/>
      <c r="N143" s="73">
        <v>14500</v>
      </c>
      <c r="O143" s="73">
        <v>14300</v>
      </c>
      <c r="P143" s="73">
        <v>15200</v>
      </c>
      <c r="Q143" s="73">
        <v>15800</v>
      </c>
      <c r="R143" s="73">
        <v>16600</v>
      </c>
      <c r="S143" s="73">
        <v>17100</v>
      </c>
      <c r="T143" s="73">
        <v>17800</v>
      </c>
      <c r="U143" s="73">
        <v>18200</v>
      </c>
      <c r="V143" s="65">
        <v>19000</v>
      </c>
      <c r="W143" s="61"/>
      <c r="X143" s="58"/>
      <c r="Y143" s="58"/>
      <c r="Z143" s="58"/>
      <c r="AA143" s="58"/>
      <c r="AB143" s="58"/>
    </row>
    <row r="144" spans="3:28" x14ac:dyDescent="0.35">
      <c r="C144" s="76">
        <v>39</v>
      </c>
      <c r="D144" s="73">
        <v>10600</v>
      </c>
      <c r="E144" s="73">
        <v>10900</v>
      </c>
      <c r="F144" s="73">
        <v>11500</v>
      </c>
      <c r="G144" s="73">
        <v>11700</v>
      </c>
      <c r="H144" s="73">
        <v>11800</v>
      </c>
      <c r="I144" s="73">
        <v>12000</v>
      </c>
      <c r="J144" s="73">
        <v>12500</v>
      </c>
      <c r="K144" s="73">
        <v>13000</v>
      </c>
      <c r="L144" s="73">
        <v>13600</v>
      </c>
      <c r="M144" s="73"/>
      <c r="N144" s="73">
        <v>14700</v>
      </c>
      <c r="O144" s="73">
        <v>14500</v>
      </c>
      <c r="P144" s="73">
        <v>15400</v>
      </c>
      <c r="Q144" s="73">
        <v>16000</v>
      </c>
      <c r="R144" s="73">
        <v>16800</v>
      </c>
      <c r="S144" s="73">
        <v>17300</v>
      </c>
      <c r="T144" s="73">
        <v>18000</v>
      </c>
      <c r="U144" s="73">
        <v>18500</v>
      </c>
      <c r="V144" s="65">
        <v>19200</v>
      </c>
      <c r="W144" s="61"/>
      <c r="X144" s="58"/>
      <c r="Y144" s="58"/>
      <c r="Z144" s="58"/>
      <c r="AA144" s="58"/>
      <c r="AB144" s="58"/>
    </row>
    <row r="145" spans="3:28" x14ac:dyDescent="0.35">
      <c r="C145" s="76">
        <v>40</v>
      </c>
      <c r="D145" s="73">
        <v>10800</v>
      </c>
      <c r="E145" s="73">
        <v>11000</v>
      </c>
      <c r="F145" s="73">
        <v>11700</v>
      </c>
      <c r="G145" s="73">
        <v>11900</v>
      </c>
      <c r="H145" s="73">
        <v>12000</v>
      </c>
      <c r="I145" s="73">
        <v>12200</v>
      </c>
      <c r="J145" s="73">
        <v>12700</v>
      </c>
      <c r="K145" s="73">
        <v>13200</v>
      </c>
      <c r="L145" s="73">
        <v>13800</v>
      </c>
      <c r="M145" s="73"/>
      <c r="N145" s="73">
        <v>14900</v>
      </c>
      <c r="O145" s="73">
        <v>14700</v>
      </c>
      <c r="P145" s="73">
        <v>15600</v>
      </c>
      <c r="Q145" s="73">
        <v>16200</v>
      </c>
      <c r="R145" s="73">
        <v>17000</v>
      </c>
      <c r="S145" s="73">
        <v>17500</v>
      </c>
      <c r="T145" s="73">
        <v>18200</v>
      </c>
      <c r="U145" s="73">
        <v>18700</v>
      </c>
      <c r="V145" s="65">
        <v>19500</v>
      </c>
      <c r="W145" s="61"/>
      <c r="X145" s="58"/>
      <c r="Y145" s="58"/>
      <c r="Z145" s="58"/>
      <c r="AA145" s="58"/>
      <c r="AB145" s="58"/>
    </row>
    <row r="146" spans="3:28" x14ac:dyDescent="0.35">
      <c r="C146" s="76">
        <v>41</v>
      </c>
      <c r="D146" s="73">
        <v>11000</v>
      </c>
      <c r="E146" s="73">
        <v>11200</v>
      </c>
      <c r="F146" s="73">
        <v>11900</v>
      </c>
      <c r="G146" s="73">
        <v>12100</v>
      </c>
      <c r="H146" s="73">
        <v>12200</v>
      </c>
      <c r="I146" s="73">
        <v>12400</v>
      </c>
      <c r="J146" s="73">
        <v>12900</v>
      </c>
      <c r="K146" s="73">
        <v>13400</v>
      </c>
      <c r="L146" s="73">
        <v>14000</v>
      </c>
      <c r="M146" s="73"/>
      <c r="N146" s="73">
        <v>15100</v>
      </c>
      <c r="O146" s="73">
        <v>15000</v>
      </c>
      <c r="P146" s="73">
        <v>15800</v>
      </c>
      <c r="Q146" s="73">
        <v>16400</v>
      </c>
      <c r="R146" s="73">
        <v>17300</v>
      </c>
      <c r="S146" s="73">
        <v>17700</v>
      </c>
      <c r="T146" s="73">
        <v>18400</v>
      </c>
      <c r="U146" s="73">
        <v>19000</v>
      </c>
      <c r="V146" s="65">
        <v>19700</v>
      </c>
      <c r="W146" s="61"/>
      <c r="X146" s="58"/>
      <c r="Y146" s="58"/>
      <c r="Z146" s="58"/>
      <c r="AA146" s="58"/>
      <c r="AB146" s="58"/>
    </row>
    <row r="147" spans="3:28" x14ac:dyDescent="0.35">
      <c r="C147" s="76">
        <v>42</v>
      </c>
      <c r="D147" s="73">
        <v>11100</v>
      </c>
      <c r="E147" s="73">
        <v>11400</v>
      </c>
      <c r="F147" s="73">
        <v>12100</v>
      </c>
      <c r="G147" s="73">
        <v>12300</v>
      </c>
      <c r="H147" s="73">
        <v>12400</v>
      </c>
      <c r="I147" s="73">
        <v>12600</v>
      </c>
      <c r="J147" s="73">
        <v>13100</v>
      </c>
      <c r="K147" s="73">
        <v>13600</v>
      </c>
      <c r="L147" s="73">
        <v>14200</v>
      </c>
      <c r="M147" s="73"/>
      <c r="N147" s="73">
        <v>15300</v>
      </c>
      <c r="O147" s="73">
        <v>15200</v>
      </c>
      <c r="P147" s="73">
        <v>16000</v>
      </c>
      <c r="Q147" s="73">
        <v>16700</v>
      </c>
      <c r="R147" s="73">
        <v>17500</v>
      </c>
      <c r="S147" s="73">
        <v>18000</v>
      </c>
      <c r="T147" s="73">
        <v>18700</v>
      </c>
      <c r="U147" s="73">
        <v>19200</v>
      </c>
      <c r="V147" s="65">
        <v>20000</v>
      </c>
      <c r="W147" s="61"/>
      <c r="X147" s="58"/>
      <c r="Y147" s="58"/>
      <c r="Z147" s="58"/>
      <c r="AA147" s="58"/>
      <c r="AB147" s="58"/>
    </row>
    <row r="148" spans="3:28" x14ac:dyDescent="0.35">
      <c r="C148" s="76">
        <v>43</v>
      </c>
      <c r="D148" s="73">
        <v>11300</v>
      </c>
      <c r="E148" s="73">
        <v>11500</v>
      </c>
      <c r="F148" s="73">
        <v>12300</v>
      </c>
      <c r="G148" s="73">
        <v>12500</v>
      </c>
      <c r="H148" s="73">
        <v>12600</v>
      </c>
      <c r="I148" s="73">
        <v>12800</v>
      </c>
      <c r="J148" s="73">
        <v>13300</v>
      </c>
      <c r="K148" s="73">
        <v>13800</v>
      </c>
      <c r="L148" s="73">
        <v>14400</v>
      </c>
      <c r="M148" s="73"/>
      <c r="N148" s="73">
        <v>15500</v>
      </c>
      <c r="O148" s="73">
        <v>15400</v>
      </c>
      <c r="P148" s="73">
        <v>16300</v>
      </c>
      <c r="Q148" s="73">
        <v>16900</v>
      </c>
      <c r="R148" s="73">
        <v>17700</v>
      </c>
      <c r="S148" s="73">
        <v>18200</v>
      </c>
      <c r="T148" s="73">
        <v>18900</v>
      </c>
      <c r="U148" s="73">
        <v>19400</v>
      </c>
      <c r="V148" s="65">
        <v>20200</v>
      </c>
      <c r="W148" s="61"/>
      <c r="X148" s="58"/>
      <c r="Y148" s="58"/>
      <c r="Z148" s="58"/>
      <c r="AA148" s="58"/>
      <c r="AB148" s="58"/>
    </row>
    <row r="149" spans="3:28" x14ac:dyDescent="0.35">
      <c r="C149" s="76">
        <v>44</v>
      </c>
      <c r="D149" s="73">
        <v>11500</v>
      </c>
      <c r="E149" s="73">
        <v>11700</v>
      </c>
      <c r="F149" s="73">
        <v>12400</v>
      </c>
      <c r="G149" s="73">
        <v>12600</v>
      </c>
      <c r="H149" s="73">
        <v>12800</v>
      </c>
      <c r="I149" s="73">
        <v>13000</v>
      </c>
      <c r="J149" s="73">
        <v>13500</v>
      </c>
      <c r="K149" s="73">
        <v>14000</v>
      </c>
      <c r="L149" s="73">
        <v>14700</v>
      </c>
      <c r="M149" s="73"/>
      <c r="N149" s="73">
        <v>15700</v>
      </c>
      <c r="O149" s="73">
        <v>15600</v>
      </c>
      <c r="P149" s="73">
        <v>16500</v>
      </c>
      <c r="Q149" s="73">
        <v>17100</v>
      </c>
      <c r="R149" s="73">
        <v>18000</v>
      </c>
      <c r="S149" s="73">
        <v>18500</v>
      </c>
      <c r="T149" s="73">
        <v>19200</v>
      </c>
      <c r="U149" s="73">
        <v>19700</v>
      </c>
      <c r="V149" s="65">
        <v>20500</v>
      </c>
      <c r="W149" s="61"/>
      <c r="X149" s="58"/>
      <c r="Y149" s="58"/>
      <c r="Z149" s="58"/>
      <c r="AA149" s="58"/>
      <c r="AB149" s="58"/>
    </row>
    <row r="150" spans="3:28" x14ac:dyDescent="0.35">
      <c r="C150" s="76">
        <v>45</v>
      </c>
      <c r="D150" s="73">
        <v>11600</v>
      </c>
      <c r="E150" s="73">
        <v>11900</v>
      </c>
      <c r="F150" s="73">
        <v>12600</v>
      </c>
      <c r="G150" s="73">
        <v>12800</v>
      </c>
      <c r="H150" s="73">
        <v>13000</v>
      </c>
      <c r="I150" s="73">
        <v>13300</v>
      </c>
      <c r="J150" s="73">
        <v>13800</v>
      </c>
      <c r="K150" s="73">
        <v>14200</v>
      </c>
      <c r="L150" s="73">
        <v>14900</v>
      </c>
      <c r="M150" s="73"/>
      <c r="N150" s="73">
        <v>16000</v>
      </c>
      <c r="O150" s="73">
        <v>15900</v>
      </c>
      <c r="P150" s="73">
        <v>16700</v>
      </c>
      <c r="Q150" s="73">
        <v>17400</v>
      </c>
      <c r="R150" s="73">
        <v>18200</v>
      </c>
      <c r="S150" s="73">
        <v>18700</v>
      </c>
      <c r="T150" s="73">
        <v>19500</v>
      </c>
      <c r="U150" s="73">
        <v>20000</v>
      </c>
      <c r="V150" s="65">
        <v>20700</v>
      </c>
      <c r="W150" s="61"/>
      <c r="X150" s="58"/>
      <c r="Y150" s="58"/>
      <c r="Z150" s="58"/>
      <c r="AA150" s="58"/>
      <c r="AB150" s="58"/>
    </row>
    <row r="151" spans="3:28" x14ac:dyDescent="0.35">
      <c r="C151" s="76">
        <v>46</v>
      </c>
      <c r="D151" s="73">
        <v>11800</v>
      </c>
      <c r="E151" s="73">
        <v>12100</v>
      </c>
      <c r="F151" s="73">
        <v>12800</v>
      </c>
      <c r="G151" s="73">
        <v>13000</v>
      </c>
      <c r="H151" s="73">
        <v>13100</v>
      </c>
      <c r="I151" s="73">
        <v>13500</v>
      </c>
      <c r="J151" s="73">
        <v>14000</v>
      </c>
      <c r="K151" s="73">
        <v>14500</v>
      </c>
      <c r="L151" s="73">
        <v>15100</v>
      </c>
      <c r="M151" s="73"/>
      <c r="N151" s="73">
        <v>16200</v>
      </c>
      <c r="O151" s="73">
        <v>16100</v>
      </c>
      <c r="P151" s="73">
        <v>17000</v>
      </c>
      <c r="Q151" s="73">
        <v>17600</v>
      </c>
      <c r="R151" s="73">
        <v>18500</v>
      </c>
      <c r="S151" s="73">
        <v>19000</v>
      </c>
      <c r="T151" s="73">
        <v>19700</v>
      </c>
      <c r="U151" s="73">
        <v>20200</v>
      </c>
      <c r="V151" s="65">
        <v>21000</v>
      </c>
      <c r="W151" s="61"/>
      <c r="X151" s="58"/>
      <c r="Y151" s="58"/>
      <c r="Z151" s="58"/>
      <c r="AA151" s="58"/>
      <c r="AB151" s="58"/>
    </row>
    <row r="152" spans="3:28" x14ac:dyDescent="0.35">
      <c r="C152" s="76">
        <v>47</v>
      </c>
      <c r="D152" s="73">
        <v>12000</v>
      </c>
      <c r="E152" s="73">
        <v>12300</v>
      </c>
      <c r="F152" s="73">
        <v>13000</v>
      </c>
      <c r="G152" s="73">
        <v>13200</v>
      </c>
      <c r="H152" s="73">
        <v>13300</v>
      </c>
      <c r="I152" s="73">
        <v>13700</v>
      </c>
      <c r="J152" s="73">
        <v>14200</v>
      </c>
      <c r="K152" s="73">
        <v>14700</v>
      </c>
      <c r="L152" s="73">
        <v>15400</v>
      </c>
      <c r="M152" s="73"/>
      <c r="N152" s="73">
        <v>16400</v>
      </c>
      <c r="O152" s="73">
        <v>16300</v>
      </c>
      <c r="P152" s="73">
        <v>17200</v>
      </c>
      <c r="Q152" s="73">
        <v>17900</v>
      </c>
      <c r="R152" s="73">
        <v>18700</v>
      </c>
      <c r="S152" s="73">
        <v>19200</v>
      </c>
      <c r="T152" s="73">
        <v>20000</v>
      </c>
      <c r="U152" s="73">
        <v>20500</v>
      </c>
      <c r="V152" s="65">
        <v>21200</v>
      </c>
      <c r="W152" s="61"/>
      <c r="X152" s="58"/>
      <c r="Y152" s="58"/>
      <c r="Z152" s="58"/>
      <c r="AA152" s="58"/>
      <c r="AB152" s="58"/>
    </row>
    <row r="153" spans="3:28" x14ac:dyDescent="0.35">
      <c r="C153" s="76">
        <v>48</v>
      </c>
      <c r="D153" s="73">
        <v>12200</v>
      </c>
      <c r="E153" s="73">
        <v>12500</v>
      </c>
      <c r="F153" s="73">
        <v>13200</v>
      </c>
      <c r="G153" s="73">
        <v>13400</v>
      </c>
      <c r="H153" s="73">
        <v>13600</v>
      </c>
      <c r="I153" s="73">
        <v>13900</v>
      </c>
      <c r="J153" s="73">
        <v>14500</v>
      </c>
      <c r="K153" s="73">
        <v>14900</v>
      </c>
      <c r="L153" s="73">
        <v>15600</v>
      </c>
      <c r="M153" s="73"/>
      <c r="N153" s="73">
        <v>16700</v>
      </c>
      <c r="O153" s="73">
        <v>16600</v>
      </c>
      <c r="P153" s="73">
        <v>17400</v>
      </c>
      <c r="Q153" s="73">
        <v>18100</v>
      </c>
      <c r="R153" s="73">
        <v>19000</v>
      </c>
      <c r="S153" s="73">
        <v>19500</v>
      </c>
      <c r="T153" s="73">
        <v>20200</v>
      </c>
      <c r="U153" s="73">
        <v>20700</v>
      </c>
      <c r="V153" s="65">
        <v>21500</v>
      </c>
      <c r="W153" s="61"/>
      <c r="X153" s="58"/>
      <c r="Y153" s="58"/>
      <c r="Z153" s="58"/>
      <c r="AA153" s="58"/>
      <c r="AB153" s="58"/>
    </row>
    <row r="154" spans="3:28" x14ac:dyDescent="0.35">
      <c r="C154" s="76">
        <v>49</v>
      </c>
      <c r="D154" s="73">
        <v>12300</v>
      </c>
      <c r="E154" s="73">
        <v>12700</v>
      </c>
      <c r="F154" s="73">
        <v>13400</v>
      </c>
      <c r="G154" s="73">
        <v>13600</v>
      </c>
      <c r="H154" s="73">
        <v>13800</v>
      </c>
      <c r="I154" s="73">
        <v>14100</v>
      </c>
      <c r="J154" s="73">
        <v>14700</v>
      </c>
      <c r="K154" s="73">
        <v>15200</v>
      </c>
      <c r="L154" s="73">
        <v>15800</v>
      </c>
      <c r="M154" s="73"/>
      <c r="N154" s="73">
        <v>16900</v>
      </c>
      <c r="O154" s="73">
        <v>16800</v>
      </c>
      <c r="P154" s="73">
        <v>17700</v>
      </c>
      <c r="Q154" s="73">
        <v>18400</v>
      </c>
      <c r="R154" s="73">
        <v>19300</v>
      </c>
      <c r="S154" s="73">
        <v>19800</v>
      </c>
      <c r="T154" s="73">
        <v>20500</v>
      </c>
      <c r="U154" s="73">
        <v>21000</v>
      </c>
      <c r="V154" s="65">
        <v>21800</v>
      </c>
      <c r="W154" s="61"/>
      <c r="X154" s="58"/>
      <c r="Y154" s="58"/>
      <c r="Z154" s="58"/>
      <c r="AA154" s="58"/>
      <c r="AB154" s="58"/>
    </row>
    <row r="155" spans="3:28" x14ac:dyDescent="0.35">
      <c r="C155" s="76">
        <v>50</v>
      </c>
      <c r="D155" s="73">
        <v>12500</v>
      </c>
      <c r="E155" s="73">
        <v>12900</v>
      </c>
      <c r="F155" s="73">
        <v>13600</v>
      </c>
      <c r="G155" s="73">
        <v>13800</v>
      </c>
      <c r="H155" s="73">
        <v>14000</v>
      </c>
      <c r="I155" s="73">
        <v>14400</v>
      </c>
      <c r="J155" s="73">
        <v>14900</v>
      </c>
      <c r="K155" s="73">
        <v>15400</v>
      </c>
      <c r="L155" s="73">
        <v>16100</v>
      </c>
      <c r="M155" s="73"/>
      <c r="N155" s="73">
        <v>17200</v>
      </c>
      <c r="O155" s="73">
        <v>17100</v>
      </c>
      <c r="P155" s="73">
        <v>18000</v>
      </c>
      <c r="Q155" s="73">
        <v>18700</v>
      </c>
      <c r="R155" s="73">
        <v>19500</v>
      </c>
      <c r="S155" s="73">
        <v>20000</v>
      </c>
      <c r="T155" s="73">
        <v>20800</v>
      </c>
      <c r="U155" s="73">
        <v>21300</v>
      </c>
      <c r="V155" s="65">
        <v>22100</v>
      </c>
      <c r="W155" s="61"/>
      <c r="X155" s="58"/>
      <c r="Y155" s="58"/>
      <c r="Z155" s="58"/>
      <c r="AA155" s="58"/>
      <c r="AB155" s="58"/>
    </row>
    <row r="156" spans="3:28" x14ac:dyDescent="0.35">
      <c r="C156" s="76">
        <v>51</v>
      </c>
      <c r="D156" s="73">
        <v>12700</v>
      </c>
      <c r="E156" s="73">
        <v>13100</v>
      </c>
      <c r="F156" s="73">
        <v>13800</v>
      </c>
      <c r="G156" s="73">
        <v>14000</v>
      </c>
      <c r="H156" s="73">
        <v>14200</v>
      </c>
      <c r="I156" s="73">
        <v>14600</v>
      </c>
      <c r="J156" s="73">
        <v>15200</v>
      </c>
      <c r="K156" s="73">
        <v>15600</v>
      </c>
      <c r="L156" s="73">
        <v>16300</v>
      </c>
      <c r="M156" s="73"/>
      <c r="N156" s="73">
        <v>17400</v>
      </c>
      <c r="O156" s="73">
        <v>17300</v>
      </c>
      <c r="P156" s="73">
        <v>18200</v>
      </c>
      <c r="Q156" s="73">
        <v>18900</v>
      </c>
      <c r="R156" s="73">
        <v>19800</v>
      </c>
      <c r="S156" s="73">
        <v>20300</v>
      </c>
      <c r="T156" s="73">
        <v>21100</v>
      </c>
      <c r="U156" s="73">
        <v>21600</v>
      </c>
      <c r="V156" s="65">
        <v>22400</v>
      </c>
      <c r="W156" s="61"/>
      <c r="X156" s="58"/>
      <c r="Y156" s="58"/>
      <c r="Z156" s="58"/>
      <c r="AA156" s="58"/>
      <c r="AB156" s="58"/>
    </row>
    <row r="157" spans="3:28" x14ac:dyDescent="0.35">
      <c r="C157" s="76">
        <v>52</v>
      </c>
      <c r="D157" s="73">
        <v>12900</v>
      </c>
      <c r="E157" s="73">
        <v>13300</v>
      </c>
      <c r="F157" s="73">
        <v>14000</v>
      </c>
      <c r="G157" s="73">
        <v>14300</v>
      </c>
      <c r="H157" s="73">
        <v>14400</v>
      </c>
      <c r="I157" s="73">
        <v>14800</v>
      </c>
      <c r="J157" s="73">
        <v>15400</v>
      </c>
      <c r="K157" s="73">
        <v>15900</v>
      </c>
      <c r="L157" s="73">
        <v>16600</v>
      </c>
      <c r="M157" s="73"/>
      <c r="N157" s="73">
        <v>17700</v>
      </c>
      <c r="O157" s="73">
        <v>17600</v>
      </c>
      <c r="P157" s="73">
        <v>18500</v>
      </c>
      <c r="Q157" s="73">
        <v>19200</v>
      </c>
      <c r="R157" s="73">
        <v>20100</v>
      </c>
      <c r="S157" s="73">
        <v>20600</v>
      </c>
      <c r="T157" s="73">
        <v>21400</v>
      </c>
      <c r="U157" s="73">
        <v>21800</v>
      </c>
      <c r="V157" s="65">
        <v>22700</v>
      </c>
      <c r="W157" s="61"/>
      <c r="X157" s="58"/>
      <c r="Y157" s="58"/>
      <c r="Z157" s="58"/>
      <c r="AA157" s="58"/>
      <c r="AB157" s="58"/>
    </row>
    <row r="158" spans="3:28" x14ac:dyDescent="0.35">
      <c r="C158" s="76">
        <v>53</v>
      </c>
      <c r="D158" s="73">
        <v>13100</v>
      </c>
      <c r="E158" s="73">
        <v>13500</v>
      </c>
      <c r="F158" s="73">
        <v>14200</v>
      </c>
      <c r="G158" s="73">
        <v>14500</v>
      </c>
      <c r="H158" s="73">
        <v>14600</v>
      </c>
      <c r="I158" s="73">
        <v>15100</v>
      </c>
      <c r="J158" s="73">
        <v>15600</v>
      </c>
      <c r="K158" s="73">
        <v>16100</v>
      </c>
      <c r="L158" s="73">
        <v>16800</v>
      </c>
      <c r="M158" s="73"/>
      <c r="N158" s="73">
        <v>18000</v>
      </c>
      <c r="O158" s="73">
        <v>17900</v>
      </c>
      <c r="P158" s="73">
        <v>18800</v>
      </c>
      <c r="Q158" s="73">
        <v>19500</v>
      </c>
      <c r="R158" s="73">
        <v>20400</v>
      </c>
      <c r="S158" s="73">
        <v>20900</v>
      </c>
      <c r="T158" s="73">
        <v>21700</v>
      </c>
      <c r="U158" s="73">
        <v>22100</v>
      </c>
      <c r="V158" s="65">
        <v>23000</v>
      </c>
      <c r="W158" s="61"/>
      <c r="X158" s="58"/>
      <c r="Y158" s="58"/>
      <c r="Z158" s="58"/>
      <c r="AA158" s="58"/>
      <c r="AB158" s="58"/>
    </row>
    <row r="159" spans="3:28" x14ac:dyDescent="0.35">
      <c r="C159" s="76">
        <v>54</v>
      </c>
      <c r="D159" s="73">
        <v>13300</v>
      </c>
      <c r="E159" s="73">
        <v>13700</v>
      </c>
      <c r="F159" s="73">
        <v>14500</v>
      </c>
      <c r="G159" s="73">
        <v>14700</v>
      </c>
      <c r="H159" s="73">
        <v>14900</v>
      </c>
      <c r="I159" s="73">
        <v>15300</v>
      </c>
      <c r="J159" s="73">
        <v>15900</v>
      </c>
      <c r="K159" s="73">
        <v>16400</v>
      </c>
      <c r="L159" s="73">
        <v>17100</v>
      </c>
      <c r="M159" s="73"/>
      <c r="N159" s="73">
        <v>18200</v>
      </c>
      <c r="O159" s="73">
        <v>18100</v>
      </c>
      <c r="P159" s="73">
        <v>19100</v>
      </c>
      <c r="Q159" s="73">
        <v>19800</v>
      </c>
      <c r="R159" s="73">
        <v>20600</v>
      </c>
      <c r="S159" s="73">
        <v>21200</v>
      </c>
      <c r="T159" s="73">
        <v>22000</v>
      </c>
      <c r="U159" s="73">
        <v>22500</v>
      </c>
      <c r="V159" s="65">
        <v>23300</v>
      </c>
      <c r="W159" s="61"/>
      <c r="X159" s="58"/>
      <c r="Y159" s="58"/>
      <c r="Z159" s="58"/>
      <c r="AA159" s="58"/>
      <c r="AB159" s="58"/>
    </row>
    <row r="160" spans="3:28" x14ac:dyDescent="0.35">
      <c r="C160" s="76">
        <v>55</v>
      </c>
      <c r="D160" s="73">
        <v>13500</v>
      </c>
      <c r="E160" s="73">
        <v>13900</v>
      </c>
      <c r="F160" s="73">
        <v>14700</v>
      </c>
      <c r="G160" s="73">
        <v>14900</v>
      </c>
      <c r="H160" s="73">
        <v>15100</v>
      </c>
      <c r="I160" s="73">
        <v>15500</v>
      </c>
      <c r="J160" s="73">
        <v>16100</v>
      </c>
      <c r="K160" s="73">
        <v>16700</v>
      </c>
      <c r="L160" s="73">
        <v>17300</v>
      </c>
      <c r="M160" s="73"/>
      <c r="N160" s="73">
        <v>18500</v>
      </c>
      <c r="O160" s="73">
        <v>18400</v>
      </c>
      <c r="P160" s="73">
        <v>19400</v>
      </c>
      <c r="Q160" s="73">
        <v>20100</v>
      </c>
      <c r="R160" s="73">
        <v>20900</v>
      </c>
      <c r="S160" s="73">
        <v>21500</v>
      </c>
      <c r="T160" s="73">
        <v>22300</v>
      </c>
      <c r="U160" s="73">
        <v>22800</v>
      </c>
      <c r="V160" s="65">
        <v>23600</v>
      </c>
      <c r="W160" s="61"/>
      <c r="X160" s="58"/>
      <c r="Y160" s="58"/>
      <c r="Z160" s="58"/>
      <c r="AA160" s="58"/>
      <c r="AB160" s="58"/>
    </row>
    <row r="161" spans="3:28" x14ac:dyDescent="0.35">
      <c r="C161" s="76">
        <v>56</v>
      </c>
      <c r="D161" s="73">
        <v>13700</v>
      </c>
      <c r="E161" s="73">
        <v>14100</v>
      </c>
      <c r="F161" s="73">
        <v>14900</v>
      </c>
      <c r="G161" s="73">
        <v>15200</v>
      </c>
      <c r="H161" s="73">
        <v>15300</v>
      </c>
      <c r="I161" s="73">
        <v>15800</v>
      </c>
      <c r="J161" s="73">
        <v>16400</v>
      </c>
      <c r="K161" s="73">
        <v>16900</v>
      </c>
      <c r="L161" s="73">
        <v>17600</v>
      </c>
      <c r="M161" s="73"/>
      <c r="N161" s="73">
        <v>18800</v>
      </c>
      <c r="O161" s="73">
        <v>18700</v>
      </c>
      <c r="P161" s="73">
        <v>19700</v>
      </c>
      <c r="Q161" s="73">
        <v>20400</v>
      </c>
      <c r="R161" s="73">
        <v>21300</v>
      </c>
      <c r="S161" s="73">
        <v>21800</v>
      </c>
      <c r="T161" s="73">
        <v>22600</v>
      </c>
      <c r="U161" s="73">
        <v>23100</v>
      </c>
      <c r="V161" s="65">
        <v>23900</v>
      </c>
      <c r="W161" s="61"/>
      <c r="X161" s="58"/>
      <c r="Y161" s="58"/>
      <c r="Z161" s="58"/>
      <c r="AA161" s="58"/>
      <c r="AB161" s="58"/>
    </row>
    <row r="162" spans="3:28" x14ac:dyDescent="0.35">
      <c r="C162" s="76">
        <v>57</v>
      </c>
      <c r="D162" s="73">
        <v>13900</v>
      </c>
      <c r="E162" s="73">
        <v>14400</v>
      </c>
      <c r="F162" s="73">
        <v>15100</v>
      </c>
      <c r="G162" s="73">
        <v>15400</v>
      </c>
      <c r="H162" s="73">
        <v>15600</v>
      </c>
      <c r="I162" s="73">
        <v>16100</v>
      </c>
      <c r="J162" s="73">
        <v>16600</v>
      </c>
      <c r="K162" s="73">
        <v>17200</v>
      </c>
      <c r="L162" s="73">
        <v>17900</v>
      </c>
      <c r="M162" s="73"/>
      <c r="N162" s="73">
        <v>19100</v>
      </c>
      <c r="O162" s="73">
        <v>19100</v>
      </c>
      <c r="P162" s="73">
        <v>20000</v>
      </c>
      <c r="Q162" s="73">
        <v>20700</v>
      </c>
      <c r="R162" s="73">
        <v>21600</v>
      </c>
      <c r="S162" s="73">
        <v>22100</v>
      </c>
      <c r="T162" s="73">
        <v>22900</v>
      </c>
      <c r="U162" s="73">
        <v>23400</v>
      </c>
      <c r="V162" s="65">
        <v>24300</v>
      </c>
      <c r="W162" s="61"/>
      <c r="X162" s="58"/>
      <c r="Y162" s="58"/>
      <c r="Z162" s="58"/>
      <c r="AA162" s="58"/>
      <c r="AB162" s="58"/>
    </row>
    <row r="163" spans="3:28" x14ac:dyDescent="0.35">
      <c r="C163" s="76">
        <v>58</v>
      </c>
      <c r="D163" s="73">
        <v>14200</v>
      </c>
      <c r="E163" s="73">
        <v>14600</v>
      </c>
      <c r="F163" s="73">
        <v>15400</v>
      </c>
      <c r="G163" s="73">
        <v>15600</v>
      </c>
      <c r="H163" s="73">
        <v>15800</v>
      </c>
      <c r="I163" s="73">
        <v>16300</v>
      </c>
      <c r="J163" s="73">
        <v>16900</v>
      </c>
      <c r="K163" s="73">
        <v>17500</v>
      </c>
      <c r="L163" s="73">
        <v>18200</v>
      </c>
      <c r="M163" s="73"/>
      <c r="N163" s="73">
        <v>19500</v>
      </c>
      <c r="O163" s="73">
        <v>19400</v>
      </c>
      <c r="P163" s="73">
        <v>20300</v>
      </c>
      <c r="Q163" s="73">
        <v>21000</v>
      </c>
      <c r="R163" s="73">
        <v>21900</v>
      </c>
      <c r="S163" s="73">
        <v>22500</v>
      </c>
      <c r="T163" s="73">
        <v>23300</v>
      </c>
      <c r="U163" s="73">
        <v>23800</v>
      </c>
      <c r="V163" s="65">
        <v>24600</v>
      </c>
      <c r="W163" s="61"/>
      <c r="X163" s="58"/>
      <c r="Y163" s="58"/>
      <c r="Z163" s="58"/>
      <c r="AA163" s="58"/>
      <c r="AB163" s="58"/>
    </row>
    <row r="164" spans="3:28" x14ac:dyDescent="0.35">
      <c r="C164" s="76">
        <v>59</v>
      </c>
      <c r="D164" s="73">
        <v>14400</v>
      </c>
      <c r="E164" s="73">
        <v>14800</v>
      </c>
      <c r="F164" s="73">
        <v>15600</v>
      </c>
      <c r="G164" s="73">
        <v>15900</v>
      </c>
      <c r="H164" s="73">
        <v>16100</v>
      </c>
      <c r="I164" s="73">
        <v>16600</v>
      </c>
      <c r="J164" s="73">
        <v>17200</v>
      </c>
      <c r="K164" s="73">
        <v>17700</v>
      </c>
      <c r="L164" s="73">
        <v>18500</v>
      </c>
      <c r="M164" s="73"/>
      <c r="N164" s="73">
        <v>19800</v>
      </c>
      <c r="O164" s="73">
        <v>19700</v>
      </c>
      <c r="P164" s="73">
        <v>20600</v>
      </c>
      <c r="Q164" s="73">
        <v>21300</v>
      </c>
      <c r="R164" s="73">
        <v>22200</v>
      </c>
      <c r="S164" s="73">
        <v>22800</v>
      </c>
      <c r="T164" s="73">
        <v>23600</v>
      </c>
      <c r="U164" s="73">
        <v>24100</v>
      </c>
      <c r="V164" s="65">
        <v>25000</v>
      </c>
      <c r="W164" s="61"/>
      <c r="X164" s="58"/>
      <c r="Y164" s="58"/>
      <c r="Z164" s="58"/>
      <c r="AA164" s="58"/>
      <c r="AB164" s="58"/>
    </row>
    <row r="165" spans="3:28" x14ac:dyDescent="0.35">
      <c r="C165" s="76">
        <v>60</v>
      </c>
      <c r="D165" s="73">
        <v>14600</v>
      </c>
      <c r="E165" s="73">
        <v>15100</v>
      </c>
      <c r="F165" s="73">
        <v>15800</v>
      </c>
      <c r="G165" s="73">
        <v>16200</v>
      </c>
      <c r="H165" s="73">
        <v>16300</v>
      </c>
      <c r="I165" s="73">
        <v>16800</v>
      </c>
      <c r="J165" s="73">
        <v>17500</v>
      </c>
      <c r="K165" s="73">
        <v>18000</v>
      </c>
      <c r="L165" s="73">
        <v>18800</v>
      </c>
      <c r="M165" s="73"/>
      <c r="N165" s="73">
        <v>20100</v>
      </c>
      <c r="O165" s="73">
        <v>20000</v>
      </c>
      <c r="P165" s="73">
        <v>21000</v>
      </c>
      <c r="Q165" s="73">
        <v>21700</v>
      </c>
      <c r="R165" s="73">
        <v>22600</v>
      </c>
      <c r="S165" s="73">
        <v>23100</v>
      </c>
      <c r="T165" s="73">
        <v>24000</v>
      </c>
      <c r="U165" s="73">
        <v>24500</v>
      </c>
      <c r="V165" s="65">
        <v>25300</v>
      </c>
      <c r="W165" s="61"/>
      <c r="X165" s="58"/>
      <c r="Y165" s="58"/>
      <c r="Z165" s="58"/>
      <c r="AA165" s="58"/>
      <c r="AB165" s="58"/>
    </row>
    <row r="166" spans="3:28" x14ac:dyDescent="0.35">
      <c r="C166" s="76">
        <v>61</v>
      </c>
      <c r="D166" s="73">
        <v>14800</v>
      </c>
      <c r="E166" s="73">
        <v>15300</v>
      </c>
      <c r="F166" s="73">
        <v>16100</v>
      </c>
      <c r="G166" s="73">
        <v>16400</v>
      </c>
      <c r="H166" s="73">
        <v>16600</v>
      </c>
      <c r="I166" s="73">
        <v>17100</v>
      </c>
      <c r="J166" s="73">
        <v>17800</v>
      </c>
      <c r="K166" s="73">
        <v>18400</v>
      </c>
      <c r="L166" s="73">
        <v>19200</v>
      </c>
      <c r="M166" s="73"/>
      <c r="N166" s="73">
        <v>20400</v>
      </c>
      <c r="O166" s="73">
        <v>20400</v>
      </c>
      <c r="P166" s="73">
        <v>21300</v>
      </c>
      <c r="Q166" s="73">
        <v>22000</v>
      </c>
      <c r="R166" s="73">
        <v>22900</v>
      </c>
      <c r="S166" s="73">
        <v>23500</v>
      </c>
      <c r="T166" s="73">
        <v>24300</v>
      </c>
      <c r="U166" s="73">
        <v>24800</v>
      </c>
      <c r="V166" s="65">
        <v>25700</v>
      </c>
      <c r="W166" s="61"/>
      <c r="X166" s="58"/>
      <c r="Y166" s="58"/>
      <c r="Z166" s="58"/>
      <c r="AA166" s="58"/>
      <c r="AB166" s="58"/>
    </row>
    <row r="167" spans="3:28" x14ac:dyDescent="0.35">
      <c r="C167" s="76">
        <v>62</v>
      </c>
      <c r="D167" s="73">
        <v>15100</v>
      </c>
      <c r="E167" s="73">
        <v>15500</v>
      </c>
      <c r="F167" s="73">
        <v>16400</v>
      </c>
      <c r="G167" s="73">
        <v>16700</v>
      </c>
      <c r="H167" s="73">
        <v>16800</v>
      </c>
      <c r="I167" s="73">
        <v>17400</v>
      </c>
      <c r="J167" s="73">
        <v>18100</v>
      </c>
      <c r="K167" s="73">
        <v>18700</v>
      </c>
      <c r="L167" s="73">
        <v>19500</v>
      </c>
      <c r="M167" s="73"/>
      <c r="N167" s="73">
        <v>20700</v>
      </c>
      <c r="O167" s="73">
        <v>20700</v>
      </c>
      <c r="P167" s="73">
        <v>21600</v>
      </c>
      <c r="Q167" s="73">
        <v>22400</v>
      </c>
      <c r="R167" s="73">
        <v>23300</v>
      </c>
      <c r="S167" s="73">
        <v>23800</v>
      </c>
      <c r="T167" s="73">
        <v>24700</v>
      </c>
      <c r="U167" s="73">
        <v>25200</v>
      </c>
      <c r="V167" s="65">
        <v>26100</v>
      </c>
      <c r="W167" s="61"/>
      <c r="X167" s="58"/>
      <c r="Y167" s="58"/>
      <c r="Z167" s="58"/>
      <c r="AA167" s="58"/>
      <c r="AB167" s="58"/>
    </row>
    <row r="168" spans="3:28" x14ac:dyDescent="0.35">
      <c r="C168" s="76">
        <v>63</v>
      </c>
      <c r="D168" s="73">
        <v>15300</v>
      </c>
      <c r="E168" s="73">
        <v>15800</v>
      </c>
      <c r="F168" s="73">
        <v>16600</v>
      </c>
      <c r="G168" s="73">
        <v>16900</v>
      </c>
      <c r="H168" s="73">
        <v>17100</v>
      </c>
      <c r="I168" s="73">
        <v>17700</v>
      </c>
      <c r="J168" s="73">
        <v>18400</v>
      </c>
      <c r="K168" s="73">
        <v>19000</v>
      </c>
      <c r="L168" s="73">
        <v>19800</v>
      </c>
      <c r="M168" s="73"/>
      <c r="N168" s="73">
        <v>21100</v>
      </c>
      <c r="O168" s="73">
        <v>21000</v>
      </c>
      <c r="P168" s="73">
        <v>22000</v>
      </c>
      <c r="Q168" s="73">
        <v>22700</v>
      </c>
      <c r="R168" s="73">
        <v>23700</v>
      </c>
      <c r="S168" s="73">
        <v>24200</v>
      </c>
      <c r="T168" s="73">
        <v>25100</v>
      </c>
      <c r="U168" s="73">
        <v>25600</v>
      </c>
      <c r="V168" s="65">
        <v>26400</v>
      </c>
      <c r="W168" s="61"/>
      <c r="X168" s="58"/>
      <c r="Y168" s="58"/>
      <c r="Z168" s="58"/>
      <c r="AA168" s="58"/>
      <c r="AB168" s="58"/>
    </row>
    <row r="169" spans="3:28" x14ac:dyDescent="0.35">
      <c r="C169" s="76">
        <v>64</v>
      </c>
      <c r="D169" s="73">
        <v>15500</v>
      </c>
      <c r="E169" s="73">
        <v>16000</v>
      </c>
      <c r="F169" s="73">
        <v>16900</v>
      </c>
      <c r="G169" s="73">
        <v>17200</v>
      </c>
      <c r="H169" s="73">
        <v>17400</v>
      </c>
      <c r="I169" s="73">
        <v>18000</v>
      </c>
      <c r="J169" s="73">
        <v>18700</v>
      </c>
      <c r="K169" s="73">
        <v>19300</v>
      </c>
      <c r="L169" s="73">
        <v>20100</v>
      </c>
      <c r="M169" s="73"/>
      <c r="N169" s="73">
        <v>21400</v>
      </c>
      <c r="O169" s="73">
        <v>21400</v>
      </c>
      <c r="P169" s="73">
        <v>22400</v>
      </c>
      <c r="Q169" s="73">
        <v>23100</v>
      </c>
      <c r="R169" s="73">
        <v>24100</v>
      </c>
      <c r="S169" s="73">
        <v>24600</v>
      </c>
      <c r="T169" s="73">
        <v>25500</v>
      </c>
      <c r="U169" s="73">
        <v>25900</v>
      </c>
      <c r="V169" s="65">
        <v>26800</v>
      </c>
      <c r="W169" s="61"/>
      <c r="X169" s="58"/>
      <c r="Y169" s="58"/>
      <c r="Z169" s="58"/>
      <c r="AA169" s="58"/>
      <c r="AB169" s="58"/>
    </row>
    <row r="170" spans="3:28" x14ac:dyDescent="0.35">
      <c r="C170" s="76">
        <v>65</v>
      </c>
      <c r="D170" s="73">
        <v>15800</v>
      </c>
      <c r="E170" s="73">
        <v>16300</v>
      </c>
      <c r="F170" s="73">
        <v>17200</v>
      </c>
      <c r="G170" s="73">
        <v>17500</v>
      </c>
      <c r="H170" s="73">
        <v>17700</v>
      </c>
      <c r="I170" s="73">
        <v>18300</v>
      </c>
      <c r="J170" s="73">
        <v>19100</v>
      </c>
      <c r="K170" s="73">
        <v>19700</v>
      </c>
      <c r="L170" s="73">
        <v>20500</v>
      </c>
      <c r="M170" s="73"/>
      <c r="N170" s="73">
        <v>21800</v>
      </c>
      <c r="O170" s="73">
        <v>21700</v>
      </c>
      <c r="P170" s="73">
        <v>22800</v>
      </c>
      <c r="Q170" s="73">
        <v>23500</v>
      </c>
      <c r="R170" s="73">
        <v>24400</v>
      </c>
      <c r="S170" s="73">
        <v>25000</v>
      </c>
      <c r="T170" s="73">
        <v>25900</v>
      </c>
      <c r="U170" s="73">
        <v>26300</v>
      </c>
      <c r="V170" s="65">
        <v>27300</v>
      </c>
      <c r="W170" s="61"/>
      <c r="X170" s="58"/>
      <c r="Y170" s="58"/>
      <c r="Z170" s="58"/>
      <c r="AA170" s="58"/>
      <c r="AB170" s="58"/>
    </row>
    <row r="171" spans="3:28" x14ac:dyDescent="0.35">
      <c r="C171" s="76">
        <v>66</v>
      </c>
      <c r="D171" s="73">
        <v>16000</v>
      </c>
      <c r="E171" s="73">
        <v>16500</v>
      </c>
      <c r="F171" s="73">
        <v>17500</v>
      </c>
      <c r="G171" s="73">
        <v>17800</v>
      </c>
      <c r="H171" s="73">
        <v>18000</v>
      </c>
      <c r="I171" s="73">
        <v>18600</v>
      </c>
      <c r="J171" s="73">
        <v>19400</v>
      </c>
      <c r="K171" s="73">
        <v>20000</v>
      </c>
      <c r="L171" s="73">
        <v>20800</v>
      </c>
      <c r="M171" s="73"/>
      <c r="N171" s="73">
        <v>22100</v>
      </c>
      <c r="O171" s="73">
        <v>22100</v>
      </c>
      <c r="P171" s="73">
        <v>23200</v>
      </c>
      <c r="Q171" s="73">
        <v>23900</v>
      </c>
      <c r="R171" s="73">
        <v>24800</v>
      </c>
      <c r="S171" s="73">
        <v>25400</v>
      </c>
      <c r="T171" s="73">
        <v>26300</v>
      </c>
      <c r="U171" s="73">
        <v>26800</v>
      </c>
      <c r="V171" s="65">
        <v>27700</v>
      </c>
      <c r="W171" s="61"/>
      <c r="X171" s="58"/>
      <c r="Y171" s="58"/>
      <c r="Z171" s="58"/>
      <c r="AA171" s="58"/>
      <c r="AB171" s="58"/>
    </row>
    <row r="172" spans="3:28" x14ac:dyDescent="0.35">
      <c r="C172" s="76">
        <v>67</v>
      </c>
      <c r="D172" s="73">
        <v>16300</v>
      </c>
      <c r="E172" s="73">
        <v>16800</v>
      </c>
      <c r="F172" s="73">
        <v>17800</v>
      </c>
      <c r="G172" s="73">
        <v>18100</v>
      </c>
      <c r="H172" s="73">
        <v>18300</v>
      </c>
      <c r="I172" s="73">
        <v>18900</v>
      </c>
      <c r="J172" s="73">
        <v>19700</v>
      </c>
      <c r="K172" s="73">
        <v>20400</v>
      </c>
      <c r="L172" s="73">
        <v>21200</v>
      </c>
      <c r="M172" s="73"/>
      <c r="N172" s="73">
        <v>22600</v>
      </c>
      <c r="O172" s="73">
        <v>22500</v>
      </c>
      <c r="P172" s="73">
        <v>23600</v>
      </c>
      <c r="Q172" s="73">
        <v>24300</v>
      </c>
      <c r="R172" s="73">
        <v>25300</v>
      </c>
      <c r="S172" s="73">
        <v>25900</v>
      </c>
      <c r="T172" s="73">
        <v>26800</v>
      </c>
      <c r="U172" s="73">
        <v>27200</v>
      </c>
      <c r="V172" s="65">
        <v>28100</v>
      </c>
      <c r="W172" s="61"/>
      <c r="X172" s="58"/>
      <c r="Y172" s="58"/>
      <c r="Z172" s="58"/>
      <c r="AA172" s="58"/>
      <c r="AB172" s="58"/>
    </row>
    <row r="173" spans="3:28" x14ac:dyDescent="0.35">
      <c r="C173" s="76">
        <v>68</v>
      </c>
      <c r="D173" s="73">
        <v>16600</v>
      </c>
      <c r="E173" s="73">
        <v>17100</v>
      </c>
      <c r="F173" s="73">
        <v>18100</v>
      </c>
      <c r="G173" s="73">
        <v>18400</v>
      </c>
      <c r="H173" s="73">
        <v>18600</v>
      </c>
      <c r="I173" s="73">
        <v>19300</v>
      </c>
      <c r="J173" s="73">
        <v>20100</v>
      </c>
      <c r="K173" s="73">
        <v>20700</v>
      </c>
      <c r="L173" s="73">
        <v>21600</v>
      </c>
      <c r="M173" s="73"/>
      <c r="N173" s="73">
        <v>23000</v>
      </c>
      <c r="O173" s="73">
        <v>23000</v>
      </c>
      <c r="P173" s="73">
        <v>24000</v>
      </c>
      <c r="Q173" s="73">
        <v>24700</v>
      </c>
      <c r="R173" s="73">
        <v>25700</v>
      </c>
      <c r="S173" s="73">
        <v>26300</v>
      </c>
      <c r="T173" s="73">
        <v>27200</v>
      </c>
      <c r="U173" s="73">
        <v>27700</v>
      </c>
      <c r="V173" s="65">
        <v>28600</v>
      </c>
      <c r="W173" s="61"/>
      <c r="X173" s="58"/>
      <c r="Y173" s="58"/>
      <c r="Z173" s="58"/>
      <c r="AA173" s="58"/>
      <c r="AB173" s="58"/>
    </row>
    <row r="174" spans="3:28" x14ac:dyDescent="0.35">
      <c r="C174" s="76">
        <v>69</v>
      </c>
      <c r="D174" s="73">
        <v>16900</v>
      </c>
      <c r="E174" s="73">
        <v>17400</v>
      </c>
      <c r="F174" s="73">
        <v>18400</v>
      </c>
      <c r="G174" s="73">
        <v>18700</v>
      </c>
      <c r="H174" s="73">
        <v>18900</v>
      </c>
      <c r="I174" s="73">
        <v>19600</v>
      </c>
      <c r="J174" s="73">
        <v>20400</v>
      </c>
      <c r="K174" s="73">
        <v>21100</v>
      </c>
      <c r="L174" s="73">
        <v>22000</v>
      </c>
      <c r="M174" s="73"/>
      <c r="N174" s="73">
        <v>23400</v>
      </c>
      <c r="O174" s="73">
        <v>23400</v>
      </c>
      <c r="P174" s="73">
        <v>24400</v>
      </c>
      <c r="Q174" s="73">
        <v>25200</v>
      </c>
      <c r="R174" s="73">
        <v>26200</v>
      </c>
      <c r="S174" s="73">
        <v>26800</v>
      </c>
      <c r="T174" s="73">
        <v>27700</v>
      </c>
      <c r="U174" s="73">
        <v>28200</v>
      </c>
      <c r="V174" s="65">
        <v>29100</v>
      </c>
      <c r="W174" s="61"/>
      <c r="X174" s="58"/>
      <c r="Y174" s="58"/>
      <c r="Z174" s="58"/>
      <c r="AA174" s="58"/>
      <c r="AB174" s="58"/>
    </row>
    <row r="175" spans="3:28" x14ac:dyDescent="0.35">
      <c r="C175" s="76">
        <v>70</v>
      </c>
      <c r="D175" s="73">
        <v>17100</v>
      </c>
      <c r="E175" s="73">
        <v>17700</v>
      </c>
      <c r="F175" s="73">
        <v>18700</v>
      </c>
      <c r="G175" s="73">
        <v>19100</v>
      </c>
      <c r="H175" s="73">
        <v>19200</v>
      </c>
      <c r="I175" s="73">
        <v>19900</v>
      </c>
      <c r="J175" s="73">
        <v>20800</v>
      </c>
      <c r="K175" s="73">
        <v>21500</v>
      </c>
      <c r="L175" s="73">
        <v>22400</v>
      </c>
      <c r="M175" s="73"/>
      <c r="N175" s="73">
        <v>23900</v>
      </c>
      <c r="O175" s="73">
        <v>23900</v>
      </c>
      <c r="P175" s="73">
        <v>24900</v>
      </c>
      <c r="Q175" s="73">
        <v>25600</v>
      </c>
      <c r="R175" s="73">
        <v>26600</v>
      </c>
      <c r="S175" s="73">
        <v>27300</v>
      </c>
      <c r="T175" s="73">
        <v>28200</v>
      </c>
      <c r="U175" s="73">
        <v>28700</v>
      </c>
      <c r="V175" s="65">
        <v>29600</v>
      </c>
      <c r="W175" s="61"/>
      <c r="X175" s="58"/>
      <c r="Y175" s="58"/>
      <c r="Z175" s="58"/>
      <c r="AA175" s="58"/>
      <c r="AB175" s="58"/>
    </row>
    <row r="176" spans="3:28" x14ac:dyDescent="0.35">
      <c r="C176" s="76">
        <v>71</v>
      </c>
      <c r="D176" s="73">
        <v>17400</v>
      </c>
      <c r="E176" s="73">
        <v>18000</v>
      </c>
      <c r="F176" s="73">
        <v>19100</v>
      </c>
      <c r="G176" s="73">
        <v>19400</v>
      </c>
      <c r="H176" s="73">
        <v>19600</v>
      </c>
      <c r="I176" s="73">
        <v>20300</v>
      </c>
      <c r="J176" s="73">
        <v>21200</v>
      </c>
      <c r="K176" s="73">
        <v>21900</v>
      </c>
      <c r="L176" s="73">
        <v>22900</v>
      </c>
      <c r="M176" s="73"/>
      <c r="N176" s="73">
        <v>24300</v>
      </c>
      <c r="O176" s="73">
        <v>24300</v>
      </c>
      <c r="P176" s="73">
        <v>25400</v>
      </c>
      <c r="Q176" s="73">
        <v>26100</v>
      </c>
      <c r="R176" s="73">
        <v>27100</v>
      </c>
      <c r="S176" s="73">
        <v>27800</v>
      </c>
      <c r="T176" s="73">
        <v>28700</v>
      </c>
      <c r="U176" s="73">
        <v>29200</v>
      </c>
      <c r="V176" s="65">
        <v>30100</v>
      </c>
      <c r="W176" s="61"/>
      <c r="X176" s="58"/>
      <c r="Y176" s="58"/>
      <c r="Z176" s="58"/>
      <c r="AA176" s="58"/>
      <c r="AB176" s="58"/>
    </row>
    <row r="177" spans="3:28" x14ac:dyDescent="0.35">
      <c r="C177" s="76">
        <v>72</v>
      </c>
      <c r="D177" s="73">
        <v>17700</v>
      </c>
      <c r="E177" s="73">
        <v>18300</v>
      </c>
      <c r="F177" s="73">
        <v>19400</v>
      </c>
      <c r="G177" s="73">
        <v>19800</v>
      </c>
      <c r="H177" s="73">
        <v>20000</v>
      </c>
      <c r="I177" s="73">
        <v>20700</v>
      </c>
      <c r="J177" s="73">
        <v>21600</v>
      </c>
      <c r="K177" s="73">
        <v>22400</v>
      </c>
      <c r="L177" s="73">
        <v>23300</v>
      </c>
      <c r="M177" s="73"/>
      <c r="N177" s="73">
        <v>24800</v>
      </c>
      <c r="O177" s="73">
        <v>24800</v>
      </c>
      <c r="P177" s="73">
        <v>25900</v>
      </c>
      <c r="Q177" s="73">
        <v>26600</v>
      </c>
      <c r="R177" s="73">
        <v>27600</v>
      </c>
      <c r="S177" s="73">
        <v>28300</v>
      </c>
      <c r="T177" s="73">
        <v>29200</v>
      </c>
      <c r="U177" s="73">
        <v>29700</v>
      </c>
      <c r="V177" s="65">
        <v>30600</v>
      </c>
      <c r="W177" s="61"/>
      <c r="X177" s="58"/>
      <c r="Y177" s="58"/>
      <c r="Z177" s="58"/>
      <c r="AA177" s="58"/>
      <c r="AB177" s="58"/>
    </row>
    <row r="178" spans="3:28" x14ac:dyDescent="0.35">
      <c r="C178" s="76">
        <v>73</v>
      </c>
      <c r="D178" s="73">
        <v>18100</v>
      </c>
      <c r="E178" s="73">
        <v>18700</v>
      </c>
      <c r="F178" s="73">
        <v>19800</v>
      </c>
      <c r="G178" s="73">
        <v>20100</v>
      </c>
      <c r="H178" s="73">
        <v>20300</v>
      </c>
      <c r="I178" s="73">
        <v>21100</v>
      </c>
      <c r="J178" s="73">
        <v>22100</v>
      </c>
      <c r="K178" s="73">
        <v>22900</v>
      </c>
      <c r="L178" s="73">
        <v>23800</v>
      </c>
      <c r="M178" s="73"/>
      <c r="N178" s="73">
        <v>25300</v>
      </c>
      <c r="O178" s="73">
        <v>25200</v>
      </c>
      <c r="P178" s="73">
        <v>26400</v>
      </c>
      <c r="Q178" s="73">
        <v>27100</v>
      </c>
      <c r="R178" s="73">
        <v>28200</v>
      </c>
      <c r="S178" s="73">
        <v>28800</v>
      </c>
      <c r="T178" s="73">
        <v>29800</v>
      </c>
      <c r="U178" s="73">
        <v>30200</v>
      </c>
      <c r="V178" s="65">
        <v>31200</v>
      </c>
      <c r="W178" s="61"/>
      <c r="X178" s="58"/>
      <c r="Y178" s="58"/>
      <c r="Z178" s="58"/>
      <c r="AA178" s="58"/>
      <c r="AB178" s="58"/>
    </row>
    <row r="179" spans="3:28" x14ac:dyDescent="0.35">
      <c r="C179" s="76">
        <v>74</v>
      </c>
      <c r="D179" s="73">
        <v>18500</v>
      </c>
      <c r="E179" s="73">
        <v>19100</v>
      </c>
      <c r="F179" s="73">
        <v>20200</v>
      </c>
      <c r="G179" s="73">
        <v>20500</v>
      </c>
      <c r="H179" s="73">
        <v>20700</v>
      </c>
      <c r="I179" s="73">
        <v>21500</v>
      </c>
      <c r="J179" s="73">
        <v>22600</v>
      </c>
      <c r="K179" s="73">
        <v>23300</v>
      </c>
      <c r="L179" s="73">
        <v>24300</v>
      </c>
      <c r="M179" s="73"/>
      <c r="N179" s="73">
        <v>25800</v>
      </c>
      <c r="O179" s="73">
        <v>25700</v>
      </c>
      <c r="P179" s="73">
        <v>26900</v>
      </c>
      <c r="Q179" s="73">
        <v>27700</v>
      </c>
      <c r="R179" s="73">
        <v>28700</v>
      </c>
      <c r="S179" s="73">
        <v>29400</v>
      </c>
      <c r="T179" s="73">
        <v>30300</v>
      </c>
      <c r="U179" s="73">
        <v>30800</v>
      </c>
      <c r="V179" s="65">
        <v>31700</v>
      </c>
      <c r="W179" s="61"/>
      <c r="X179" s="58"/>
      <c r="Y179" s="58"/>
      <c r="Z179" s="58"/>
      <c r="AA179" s="58"/>
      <c r="AB179" s="58"/>
    </row>
    <row r="180" spans="3:28" x14ac:dyDescent="0.35">
      <c r="C180" s="76">
        <v>75</v>
      </c>
      <c r="D180" s="73">
        <v>18800</v>
      </c>
      <c r="E180" s="73">
        <v>19400</v>
      </c>
      <c r="F180" s="73">
        <v>20600</v>
      </c>
      <c r="G180" s="73">
        <v>20900</v>
      </c>
      <c r="H180" s="73">
        <v>21100</v>
      </c>
      <c r="I180" s="73">
        <v>22000</v>
      </c>
      <c r="J180" s="73">
        <v>23100</v>
      </c>
      <c r="K180" s="73">
        <v>23800</v>
      </c>
      <c r="L180" s="73">
        <v>24800</v>
      </c>
      <c r="M180" s="73"/>
      <c r="N180" s="73">
        <v>26300</v>
      </c>
      <c r="O180" s="73">
        <v>26300</v>
      </c>
      <c r="P180" s="73">
        <v>27500</v>
      </c>
      <c r="Q180" s="73">
        <v>28200</v>
      </c>
      <c r="R180" s="73">
        <v>29300</v>
      </c>
      <c r="S180" s="73">
        <v>29900</v>
      </c>
      <c r="T180" s="73">
        <v>30900</v>
      </c>
      <c r="U180" s="73">
        <v>31400</v>
      </c>
      <c r="V180" s="65">
        <v>32300</v>
      </c>
      <c r="W180" s="61"/>
      <c r="X180" s="58"/>
      <c r="Y180" s="58"/>
      <c r="Z180" s="58"/>
      <c r="AA180" s="58"/>
      <c r="AB180" s="58"/>
    </row>
    <row r="181" spans="3:28" x14ac:dyDescent="0.35">
      <c r="C181" s="76">
        <v>76</v>
      </c>
      <c r="D181" s="73">
        <v>19200</v>
      </c>
      <c r="E181" s="73">
        <v>19800</v>
      </c>
      <c r="F181" s="73">
        <v>21000</v>
      </c>
      <c r="G181" s="73">
        <v>21300</v>
      </c>
      <c r="H181" s="73">
        <v>21500</v>
      </c>
      <c r="I181" s="73">
        <v>22500</v>
      </c>
      <c r="J181" s="73">
        <v>23600</v>
      </c>
      <c r="K181" s="73">
        <v>24300</v>
      </c>
      <c r="L181" s="73">
        <v>25300</v>
      </c>
      <c r="M181" s="73"/>
      <c r="N181" s="73">
        <v>26900</v>
      </c>
      <c r="O181" s="73">
        <v>26800</v>
      </c>
      <c r="P181" s="73">
        <v>28100</v>
      </c>
      <c r="Q181" s="73">
        <v>28800</v>
      </c>
      <c r="R181" s="73">
        <v>29900</v>
      </c>
      <c r="S181" s="73">
        <v>30500</v>
      </c>
      <c r="T181" s="73">
        <v>31500</v>
      </c>
      <c r="U181" s="73">
        <v>32100</v>
      </c>
      <c r="V181" s="65">
        <v>33000</v>
      </c>
      <c r="W181" s="61"/>
      <c r="X181" s="58"/>
      <c r="Y181" s="58"/>
      <c r="Z181" s="58"/>
      <c r="AA181" s="58"/>
      <c r="AB181" s="58"/>
    </row>
    <row r="182" spans="3:28" x14ac:dyDescent="0.35">
      <c r="C182" s="76">
        <v>77</v>
      </c>
      <c r="D182" s="73">
        <v>19600</v>
      </c>
      <c r="E182" s="73">
        <v>20200</v>
      </c>
      <c r="F182" s="73">
        <v>21400</v>
      </c>
      <c r="G182" s="73">
        <v>21700</v>
      </c>
      <c r="H182" s="73">
        <v>21900</v>
      </c>
      <c r="I182" s="73">
        <v>23000</v>
      </c>
      <c r="J182" s="73">
        <v>24100</v>
      </c>
      <c r="K182" s="73">
        <v>24800</v>
      </c>
      <c r="L182" s="73">
        <v>25800</v>
      </c>
      <c r="M182" s="73"/>
      <c r="N182" s="73">
        <v>27500</v>
      </c>
      <c r="O182" s="73">
        <v>27500</v>
      </c>
      <c r="P182" s="73">
        <v>28700</v>
      </c>
      <c r="Q182" s="73">
        <v>29400</v>
      </c>
      <c r="R182" s="73">
        <v>30500</v>
      </c>
      <c r="S182" s="73">
        <v>31100</v>
      </c>
      <c r="T182" s="73">
        <v>32100</v>
      </c>
      <c r="U182" s="73">
        <v>32700</v>
      </c>
      <c r="V182" s="65">
        <v>33700</v>
      </c>
      <c r="W182" s="61"/>
      <c r="X182" s="58"/>
      <c r="Y182" s="58"/>
      <c r="Z182" s="58"/>
      <c r="AA182" s="58"/>
      <c r="AB182" s="58"/>
    </row>
    <row r="183" spans="3:28" x14ac:dyDescent="0.35">
      <c r="C183" s="76">
        <v>78</v>
      </c>
      <c r="D183" s="73">
        <v>20000</v>
      </c>
      <c r="E183" s="73">
        <v>20600</v>
      </c>
      <c r="F183" s="73">
        <v>21900</v>
      </c>
      <c r="G183" s="73">
        <v>22200</v>
      </c>
      <c r="H183" s="73">
        <v>22400</v>
      </c>
      <c r="I183" s="73">
        <v>23500</v>
      </c>
      <c r="J183" s="73">
        <v>24600</v>
      </c>
      <c r="K183" s="73">
        <v>25300</v>
      </c>
      <c r="L183" s="73">
        <v>26400</v>
      </c>
      <c r="M183" s="73"/>
      <c r="N183" s="73">
        <v>28100</v>
      </c>
      <c r="O183" s="73">
        <v>28100</v>
      </c>
      <c r="P183" s="73">
        <v>29300</v>
      </c>
      <c r="Q183" s="73">
        <v>30000</v>
      </c>
      <c r="R183" s="73">
        <v>31100</v>
      </c>
      <c r="S183" s="73">
        <v>31800</v>
      </c>
      <c r="T183" s="73">
        <v>32800</v>
      </c>
      <c r="U183" s="73">
        <v>33400</v>
      </c>
      <c r="V183" s="65">
        <v>34300</v>
      </c>
      <c r="W183" s="61"/>
      <c r="X183" s="58"/>
      <c r="Y183" s="58"/>
      <c r="Z183" s="58"/>
      <c r="AA183" s="58"/>
      <c r="AB183" s="58"/>
    </row>
    <row r="184" spans="3:28" x14ac:dyDescent="0.35">
      <c r="C184" s="76">
        <v>79</v>
      </c>
      <c r="D184" s="73">
        <v>20400</v>
      </c>
      <c r="E184" s="73">
        <v>21000</v>
      </c>
      <c r="F184" s="73">
        <v>22300</v>
      </c>
      <c r="G184" s="73">
        <v>22600</v>
      </c>
      <c r="H184" s="73">
        <v>22900</v>
      </c>
      <c r="I184" s="73">
        <v>24000</v>
      </c>
      <c r="J184" s="73">
        <v>25100</v>
      </c>
      <c r="K184" s="73">
        <v>25900</v>
      </c>
      <c r="L184" s="73">
        <v>27100</v>
      </c>
      <c r="M184" s="73"/>
      <c r="N184" s="73">
        <v>28700</v>
      </c>
      <c r="O184" s="73">
        <v>28800</v>
      </c>
      <c r="P184" s="73">
        <v>30000</v>
      </c>
      <c r="Q184" s="73">
        <v>30700</v>
      </c>
      <c r="R184" s="73">
        <v>31900</v>
      </c>
      <c r="S184" s="73">
        <v>32500</v>
      </c>
      <c r="T184" s="73">
        <v>33600</v>
      </c>
      <c r="U184" s="73">
        <v>34100</v>
      </c>
      <c r="V184" s="65">
        <v>35000</v>
      </c>
      <c r="W184" s="61"/>
      <c r="X184" s="58"/>
      <c r="Y184" s="58"/>
      <c r="Z184" s="58"/>
      <c r="AA184" s="58"/>
      <c r="AB184" s="58"/>
    </row>
    <row r="185" spans="3:28" x14ac:dyDescent="0.35">
      <c r="C185" s="76">
        <v>80</v>
      </c>
      <c r="D185" s="73">
        <v>20900</v>
      </c>
      <c r="E185" s="73">
        <v>21500</v>
      </c>
      <c r="F185" s="73">
        <v>22800</v>
      </c>
      <c r="G185" s="73">
        <v>23100</v>
      </c>
      <c r="H185" s="73">
        <v>23300</v>
      </c>
      <c r="I185" s="73">
        <v>24500</v>
      </c>
      <c r="J185" s="73">
        <v>25700</v>
      </c>
      <c r="K185" s="73">
        <v>26500</v>
      </c>
      <c r="L185" s="73">
        <v>27700</v>
      </c>
      <c r="M185" s="73"/>
      <c r="N185" s="73">
        <v>29400</v>
      </c>
      <c r="O185" s="73">
        <v>29500</v>
      </c>
      <c r="P185" s="73">
        <v>30700</v>
      </c>
      <c r="Q185" s="73">
        <v>31400</v>
      </c>
      <c r="R185" s="73">
        <v>32600</v>
      </c>
      <c r="S185" s="73">
        <v>33200</v>
      </c>
      <c r="T185" s="73">
        <v>34300</v>
      </c>
      <c r="U185" s="73">
        <v>34800</v>
      </c>
      <c r="V185" s="65">
        <v>35800</v>
      </c>
      <c r="W185" s="61"/>
      <c r="X185" s="58"/>
      <c r="Y185" s="58"/>
      <c r="Z185" s="58"/>
      <c r="AA185" s="58"/>
      <c r="AB185" s="58"/>
    </row>
    <row r="186" spans="3:28" x14ac:dyDescent="0.35">
      <c r="C186" s="76">
        <v>81</v>
      </c>
      <c r="D186" s="73">
        <v>21300</v>
      </c>
      <c r="E186" s="73">
        <v>21900</v>
      </c>
      <c r="F186" s="73">
        <v>23300</v>
      </c>
      <c r="G186" s="73">
        <v>23600</v>
      </c>
      <c r="H186" s="73">
        <v>23800</v>
      </c>
      <c r="I186" s="73">
        <v>25100</v>
      </c>
      <c r="J186" s="73">
        <v>26300</v>
      </c>
      <c r="K186" s="73">
        <v>27200</v>
      </c>
      <c r="L186" s="73">
        <v>28400</v>
      </c>
      <c r="M186" s="73"/>
      <c r="N186" s="73">
        <v>30100</v>
      </c>
      <c r="O186" s="73">
        <v>30200</v>
      </c>
      <c r="P186" s="73">
        <v>31500</v>
      </c>
      <c r="Q186" s="73">
        <v>32200</v>
      </c>
      <c r="R186" s="73">
        <v>33400</v>
      </c>
      <c r="S186" s="73">
        <v>34000</v>
      </c>
      <c r="T186" s="73">
        <v>35100</v>
      </c>
      <c r="U186" s="73">
        <v>35600</v>
      </c>
      <c r="V186" s="65">
        <v>36600</v>
      </c>
      <c r="W186" s="61"/>
      <c r="X186" s="58"/>
      <c r="Y186" s="58"/>
      <c r="Z186" s="58"/>
      <c r="AA186" s="58"/>
      <c r="AB186" s="58"/>
    </row>
    <row r="187" spans="3:28" x14ac:dyDescent="0.35">
      <c r="C187" s="76">
        <v>82</v>
      </c>
      <c r="D187" s="73">
        <v>21700</v>
      </c>
      <c r="E187" s="73">
        <v>22500</v>
      </c>
      <c r="F187" s="73">
        <v>23900</v>
      </c>
      <c r="G187" s="73">
        <v>24200</v>
      </c>
      <c r="H187" s="73">
        <v>24400</v>
      </c>
      <c r="I187" s="73">
        <v>25700</v>
      </c>
      <c r="J187" s="73">
        <v>27000</v>
      </c>
      <c r="K187" s="73">
        <v>27900</v>
      </c>
      <c r="L187" s="73">
        <v>29100</v>
      </c>
      <c r="M187" s="73"/>
      <c r="N187" s="73">
        <v>30900</v>
      </c>
      <c r="O187" s="73">
        <v>30900</v>
      </c>
      <c r="P187" s="73">
        <v>32300</v>
      </c>
      <c r="Q187" s="73">
        <v>33000</v>
      </c>
      <c r="R187" s="73">
        <v>34200</v>
      </c>
      <c r="S187" s="73">
        <v>34800</v>
      </c>
      <c r="T187" s="73">
        <v>35900</v>
      </c>
      <c r="U187" s="73">
        <v>36500</v>
      </c>
      <c r="V187" s="65">
        <v>37500</v>
      </c>
      <c r="W187" s="61"/>
      <c r="X187" s="58"/>
      <c r="Y187" s="58"/>
      <c r="Z187" s="58"/>
      <c r="AA187" s="58"/>
      <c r="AB187" s="58"/>
    </row>
    <row r="188" spans="3:28" x14ac:dyDescent="0.35">
      <c r="C188" s="76">
        <v>83</v>
      </c>
      <c r="D188" s="73">
        <v>22300</v>
      </c>
      <c r="E188" s="73">
        <v>23000</v>
      </c>
      <c r="F188" s="73">
        <v>24500</v>
      </c>
      <c r="G188" s="73">
        <v>24800</v>
      </c>
      <c r="H188" s="73">
        <v>25000</v>
      </c>
      <c r="I188" s="73">
        <v>26300</v>
      </c>
      <c r="J188" s="73">
        <v>27700</v>
      </c>
      <c r="K188" s="73">
        <v>28600</v>
      </c>
      <c r="L188" s="73">
        <v>29900</v>
      </c>
      <c r="M188" s="73"/>
      <c r="N188" s="73">
        <v>31700</v>
      </c>
      <c r="O188" s="73">
        <v>31700</v>
      </c>
      <c r="P188" s="73">
        <v>33100</v>
      </c>
      <c r="Q188" s="73">
        <v>33800</v>
      </c>
      <c r="R188" s="73">
        <v>35000</v>
      </c>
      <c r="S188" s="73">
        <v>35600</v>
      </c>
      <c r="T188" s="73">
        <v>36700</v>
      </c>
      <c r="U188" s="73">
        <v>37300</v>
      </c>
      <c r="V188" s="65">
        <v>38300</v>
      </c>
      <c r="W188" s="61"/>
      <c r="X188" s="58"/>
      <c r="Y188" s="58"/>
      <c r="Z188" s="58"/>
      <c r="AA188" s="58"/>
      <c r="AB188" s="58"/>
    </row>
    <row r="189" spans="3:28" x14ac:dyDescent="0.35">
      <c r="C189" s="76">
        <v>84</v>
      </c>
      <c r="D189" s="73">
        <v>22800</v>
      </c>
      <c r="E189" s="73">
        <v>23600</v>
      </c>
      <c r="F189" s="73">
        <v>25100</v>
      </c>
      <c r="G189" s="73">
        <v>25400</v>
      </c>
      <c r="H189" s="73">
        <v>25600</v>
      </c>
      <c r="I189" s="73">
        <v>27000</v>
      </c>
      <c r="J189" s="73">
        <v>28500</v>
      </c>
      <c r="K189" s="73">
        <v>29400</v>
      </c>
      <c r="L189" s="73">
        <v>30700</v>
      </c>
      <c r="M189" s="73"/>
      <c r="N189" s="73">
        <v>32600</v>
      </c>
      <c r="O189" s="73">
        <v>32500</v>
      </c>
      <c r="P189" s="73">
        <v>34000</v>
      </c>
      <c r="Q189" s="73">
        <v>34700</v>
      </c>
      <c r="R189" s="73">
        <v>35800</v>
      </c>
      <c r="S189" s="73">
        <v>36400</v>
      </c>
      <c r="T189" s="73">
        <v>37500</v>
      </c>
      <c r="U189" s="73">
        <v>38100</v>
      </c>
      <c r="V189" s="65">
        <v>39200</v>
      </c>
      <c r="W189" s="61"/>
      <c r="X189" s="58"/>
      <c r="Y189" s="58"/>
      <c r="Z189" s="58"/>
      <c r="AA189" s="58"/>
      <c r="AB189" s="58"/>
    </row>
    <row r="190" spans="3:28" x14ac:dyDescent="0.35">
      <c r="C190" s="76">
        <v>85</v>
      </c>
      <c r="D190" s="73">
        <v>23400</v>
      </c>
      <c r="E190" s="73">
        <v>24200</v>
      </c>
      <c r="F190" s="73">
        <v>25700</v>
      </c>
      <c r="G190" s="73">
        <v>26100</v>
      </c>
      <c r="H190" s="73">
        <v>26300</v>
      </c>
      <c r="I190" s="73">
        <v>27700</v>
      </c>
      <c r="J190" s="73">
        <v>29200</v>
      </c>
      <c r="K190" s="73">
        <v>30200</v>
      </c>
      <c r="L190" s="73">
        <v>31600</v>
      </c>
      <c r="M190" s="73"/>
      <c r="N190" s="73">
        <v>33500</v>
      </c>
      <c r="O190" s="73">
        <v>33400</v>
      </c>
      <c r="P190" s="73">
        <v>35000</v>
      </c>
      <c r="Q190" s="73">
        <v>35700</v>
      </c>
      <c r="R190" s="73">
        <v>36600</v>
      </c>
      <c r="S190" s="73">
        <v>37200</v>
      </c>
      <c r="T190" s="73">
        <v>38400</v>
      </c>
      <c r="U190" s="73">
        <v>39000</v>
      </c>
      <c r="V190" s="65">
        <v>40100</v>
      </c>
      <c r="W190" s="61"/>
      <c r="X190" s="58"/>
      <c r="Y190" s="58"/>
      <c r="Z190" s="58"/>
      <c r="AA190" s="58"/>
      <c r="AB190" s="58"/>
    </row>
    <row r="191" spans="3:28" x14ac:dyDescent="0.35">
      <c r="C191" s="76">
        <v>86</v>
      </c>
      <c r="D191" s="73">
        <v>24000</v>
      </c>
      <c r="E191" s="73">
        <v>24900</v>
      </c>
      <c r="F191" s="73">
        <v>26500</v>
      </c>
      <c r="G191" s="73">
        <v>26800</v>
      </c>
      <c r="H191" s="73">
        <v>27000</v>
      </c>
      <c r="I191" s="73">
        <v>28500</v>
      </c>
      <c r="J191" s="73">
        <v>30100</v>
      </c>
      <c r="K191" s="73">
        <v>31200</v>
      </c>
      <c r="L191" s="73">
        <v>32500</v>
      </c>
      <c r="M191" s="73"/>
      <c r="N191" s="73">
        <v>34500</v>
      </c>
      <c r="O191" s="73">
        <v>34400</v>
      </c>
      <c r="P191" s="73">
        <v>36000</v>
      </c>
      <c r="Q191" s="73">
        <v>36600</v>
      </c>
      <c r="R191" s="73">
        <v>37500</v>
      </c>
      <c r="S191" s="73">
        <v>38100</v>
      </c>
      <c r="T191" s="73">
        <v>39100</v>
      </c>
      <c r="U191" s="73">
        <v>39900</v>
      </c>
      <c r="V191" s="65">
        <v>41100</v>
      </c>
      <c r="W191" s="61"/>
      <c r="X191" s="58"/>
      <c r="Y191" s="58"/>
      <c r="Z191" s="58"/>
      <c r="AA191" s="58"/>
      <c r="AB191" s="58"/>
    </row>
    <row r="192" spans="3:28" x14ac:dyDescent="0.35">
      <c r="C192" s="76">
        <v>87</v>
      </c>
      <c r="D192" s="73">
        <v>24700</v>
      </c>
      <c r="E192" s="73">
        <v>25600</v>
      </c>
      <c r="F192" s="73">
        <v>27300</v>
      </c>
      <c r="G192" s="73">
        <v>27600</v>
      </c>
      <c r="H192" s="73">
        <v>27800</v>
      </c>
      <c r="I192" s="73">
        <v>29400</v>
      </c>
      <c r="J192" s="73">
        <v>31000</v>
      </c>
      <c r="K192" s="73">
        <v>32100</v>
      </c>
      <c r="L192" s="73">
        <v>33500</v>
      </c>
      <c r="M192" s="73"/>
      <c r="N192" s="73">
        <v>35600</v>
      </c>
      <c r="O192" s="73">
        <v>35500</v>
      </c>
      <c r="P192" s="73">
        <v>36900</v>
      </c>
      <c r="Q192" s="73">
        <v>37600</v>
      </c>
      <c r="R192" s="73">
        <v>38200</v>
      </c>
      <c r="S192" s="73">
        <v>38800</v>
      </c>
      <c r="T192" s="73">
        <v>39900</v>
      </c>
      <c r="U192" s="73">
        <v>40900</v>
      </c>
      <c r="V192" s="65">
        <v>42000</v>
      </c>
      <c r="W192" s="61"/>
      <c r="X192" s="58"/>
      <c r="Y192" s="58"/>
      <c r="Z192" s="58"/>
      <c r="AA192" s="58"/>
      <c r="AB192" s="58"/>
    </row>
    <row r="193" spans="2:28" x14ac:dyDescent="0.35">
      <c r="C193" s="76">
        <v>88</v>
      </c>
      <c r="D193" s="73">
        <v>25500</v>
      </c>
      <c r="E193" s="73">
        <v>26400</v>
      </c>
      <c r="F193" s="73">
        <v>28100</v>
      </c>
      <c r="G193" s="73">
        <v>28500</v>
      </c>
      <c r="H193" s="73">
        <v>28700</v>
      </c>
      <c r="I193" s="73">
        <v>30200</v>
      </c>
      <c r="J193" s="73">
        <v>31900</v>
      </c>
      <c r="K193" s="73">
        <v>33100</v>
      </c>
      <c r="L193" s="73">
        <v>34500</v>
      </c>
      <c r="M193" s="73"/>
      <c r="N193" s="73">
        <v>36700</v>
      </c>
      <c r="O193" s="73">
        <v>36600</v>
      </c>
      <c r="P193" s="73">
        <v>37900</v>
      </c>
      <c r="Q193" s="73">
        <v>38600</v>
      </c>
      <c r="R193" s="73">
        <v>39200</v>
      </c>
      <c r="S193" s="73">
        <v>39800</v>
      </c>
      <c r="T193" s="73">
        <v>41000</v>
      </c>
      <c r="U193" s="73">
        <v>41700</v>
      </c>
      <c r="V193" s="65">
        <v>42900</v>
      </c>
      <c r="W193" s="61"/>
      <c r="X193" s="58"/>
      <c r="Y193" s="58"/>
      <c r="Z193" s="58"/>
      <c r="AA193" s="58"/>
      <c r="AB193" s="58"/>
    </row>
    <row r="194" spans="2:28" x14ac:dyDescent="0.35">
      <c r="C194" s="76">
        <v>89</v>
      </c>
      <c r="D194" s="73">
        <v>26300</v>
      </c>
      <c r="E194" s="73">
        <v>27300</v>
      </c>
      <c r="F194" s="73">
        <v>29000</v>
      </c>
      <c r="G194" s="73">
        <v>29400</v>
      </c>
      <c r="H194" s="73">
        <v>29700</v>
      </c>
      <c r="I194" s="73">
        <v>31200</v>
      </c>
      <c r="J194" s="73">
        <v>32900</v>
      </c>
      <c r="K194" s="73">
        <v>34000</v>
      </c>
      <c r="L194" s="73">
        <v>35500</v>
      </c>
      <c r="M194" s="73"/>
      <c r="N194" s="73">
        <v>37900</v>
      </c>
      <c r="O194" s="73">
        <v>37800</v>
      </c>
      <c r="P194" s="73">
        <v>38900</v>
      </c>
      <c r="Q194" s="73">
        <v>39500</v>
      </c>
      <c r="R194" s="73">
        <v>40300</v>
      </c>
      <c r="S194" s="73">
        <v>41000</v>
      </c>
      <c r="T194" s="73">
        <v>42200</v>
      </c>
      <c r="U194" s="73">
        <v>42900</v>
      </c>
      <c r="V194" s="65">
        <v>44100</v>
      </c>
      <c r="W194" s="61"/>
      <c r="X194" s="58"/>
      <c r="Y194" s="58"/>
      <c r="Z194" s="58"/>
      <c r="AA194" s="58"/>
      <c r="AB194" s="58"/>
    </row>
    <row r="195" spans="2:28" x14ac:dyDescent="0.35">
      <c r="C195" s="76">
        <v>90</v>
      </c>
      <c r="D195" s="73">
        <v>27300</v>
      </c>
      <c r="E195" s="73">
        <v>28400</v>
      </c>
      <c r="F195" s="73">
        <v>30000</v>
      </c>
      <c r="G195" s="73">
        <v>30400</v>
      </c>
      <c r="H195" s="73">
        <v>30700</v>
      </c>
      <c r="I195" s="73">
        <v>32100</v>
      </c>
      <c r="J195" s="73">
        <v>33900</v>
      </c>
      <c r="K195" s="73">
        <v>35000</v>
      </c>
      <c r="L195" s="73">
        <v>36600</v>
      </c>
      <c r="M195" s="73"/>
      <c r="N195" s="73">
        <v>39200</v>
      </c>
      <c r="O195" s="73">
        <v>39000</v>
      </c>
      <c r="P195" s="73">
        <v>40000</v>
      </c>
      <c r="Q195" s="73">
        <v>40700</v>
      </c>
      <c r="R195" s="73">
        <v>41500</v>
      </c>
      <c r="S195" s="73">
        <v>42300</v>
      </c>
      <c r="T195" s="73">
        <v>43600</v>
      </c>
      <c r="U195" s="73">
        <v>44300</v>
      </c>
      <c r="V195" s="65">
        <v>45500</v>
      </c>
      <c r="W195" s="61"/>
      <c r="X195" s="58"/>
      <c r="Y195" s="58"/>
      <c r="Z195" s="58"/>
      <c r="AA195" s="58"/>
      <c r="AB195" s="58"/>
    </row>
    <row r="196" spans="2:28" x14ac:dyDescent="0.35">
      <c r="C196" s="76">
        <v>91</v>
      </c>
      <c r="D196" s="73">
        <v>28300</v>
      </c>
      <c r="E196" s="73">
        <v>29400</v>
      </c>
      <c r="F196" s="73">
        <v>31000</v>
      </c>
      <c r="G196" s="73">
        <v>31400</v>
      </c>
      <c r="H196" s="73">
        <v>31800</v>
      </c>
      <c r="I196" s="73">
        <v>33200</v>
      </c>
      <c r="J196" s="73">
        <v>35100</v>
      </c>
      <c r="K196" s="73">
        <v>36300</v>
      </c>
      <c r="L196" s="73">
        <v>37900</v>
      </c>
      <c r="M196" s="73"/>
      <c r="N196" s="73">
        <v>40400</v>
      </c>
      <c r="O196" s="73">
        <v>40200</v>
      </c>
      <c r="P196" s="73">
        <v>41500</v>
      </c>
      <c r="Q196" s="73">
        <v>42200</v>
      </c>
      <c r="R196" s="73">
        <v>43100</v>
      </c>
      <c r="S196" s="73">
        <v>43900</v>
      </c>
      <c r="T196" s="73">
        <v>45300</v>
      </c>
      <c r="U196" s="73">
        <v>46000</v>
      </c>
      <c r="V196" s="65">
        <v>47200</v>
      </c>
      <c r="W196" s="61"/>
      <c r="X196" s="58"/>
      <c r="Y196" s="58"/>
      <c r="Z196" s="58"/>
      <c r="AA196" s="58"/>
      <c r="AB196" s="58"/>
    </row>
    <row r="197" spans="2:28" x14ac:dyDescent="0.35">
      <c r="C197" s="76">
        <v>92</v>
      </c>
      <c r="D197" s="73">
        <v>29500</v>
      </c>
      <c r="E197" s="73">
        <v>30600</v>
      </c>
      <c r="F197" s="73">
        <v>32200</v>
      </c>
      <c r="G197" s="73">
        <v>32600</v>
      </c>
      <c r="H197" s="73">
        <v>33000</v>
      </c>
      <c r="I197" s="73">
        <v>34400</v>
      </c>
      <c r="J197" s="73">
        <v>36500</v>
      </c>
      <c r="K197" s="73">
        <v>37800</v>
      </c>
      <c r="L197" s="73">
        <v>39500</v>
      </c>
      <c r="M197" s="73"/>
      <c r="N197" s="73">
        <v>41900</v>
      </c>
      <c r="O197" s="73">
        <v>41600</v>
      </c>
      <c r="P197" s="73">
        <v>43200</v>
      </c>
      <c r="Q197" s="73">
        <v>43900</v>
      </c>
      <c r="R197" s="73">
        <v>45000</v>
      </c>
      <c r="S197" s="73">
        <v>45800</v>
      </c>
      <c r="T197" s="73">
        <v>47300</v>
      </c>
      <c r="U197" s="73">
        <v>48100</v>
      </c>
      <c r="V197" s="65">
        <v>49300</v>
      </c>
      <c r="W197" s="61"/>
      <c r="X197" s="58"/>
      <c r="Y197" s="58"/>
      <c r="Z197" s="58"/>
      <c r="AA197" s="58"/>
      <c r="AB197" s="58"/>
    </row>
    <row r="198" spans="2:28" x14ac:dyDescent="0.35">
      <c r="C198" s="76">
        <v>93</v>
      </c>
      <c r="D198" s="73">
        <v>30900</v>
      </c>
      <c r="E198" s="73">
        <v>32100</v>
      </c>
      <c r="F198" s="73">
        <v>33700</v>
      </c>
      <c r="G198" s="73">
        <v>34100</v>
      </c>
      <c r="H198" s="73">
        <v>34600</v>
      </c>
      <c r="I198" s="73">
        <v>35900</v>
      </c>
      <c r="J198" s="73">
        <v>38200</v>
      </c>
      <c r="K198" s="73">
        <v>39600</v>
      </c>
      <c r="L198" s="73">
        <v>41300</v>
      </c>
      <c r="M198" s="73"/>
      <c r="N198" s="73">
        <v>43700</v>
      </c>
      <c r="O198" s="73">
        <v>43400</v>
      </c>
      <c r="P198" s="73">
        <v>45300</v>
      </c>
      <c r="Q198" s="73">
        <v>46000</v>
      </c>
      <c r="R198" s="73">
        <v>47300</v>
      </c>
      <c r="S198" s="73">
        <v>48200</v>
      </c>
      <c r="T198" s="73">
        <v>49900</v>
      </c>
      <c r="U198" s="73">
        <v>50600</v>
      </c>
      <c r="V198" s="65">
        <v>51800</v>
      </c>
      <c r="W198" s="61"/>
      <c r="X198" s="58"/>
      <c r="Y198" s="58"/>
      <c r="Z198" s="58"/>
      <c r="AA198" s="58"/>
      <c r="AB198" s="58"/>
    </row>
    <row r="199" spans="2:28" x14ac:dyDescent="0.35">
      <c r="C199" s="76">
        <v>94</v>
      </c>
      <c r="D199" s="73">
        <v>32600</v>
      </c>
      <c r="E199" s="73">
        <v>33900</v>
      </c>
      <c r="F199" s="73">
        <v>35500</v>
      </c>
      <c r="G199" s="73">
        <v>35900</v>
      </c>
      <c r="H199" s="73">
        <v>36500</v>
      </c>
      <c r="I199" s="73">
        <v>37800</v>
      </c>
      <c r="J199" s="73">
        <v>40400</v>
      </c>
      <c r="K199" s="73">
        <v>41800</v>
      </c>
      <c r="L199" s="73">
        <v>43600</v>
      </c>
      <c r="M199" s="73"/>
      <c r="N199" s="73">
        <v>46000</v>
      </c>
      <c r="O199" s="73">
        <v>45800</v>
      </c>
      <c r="P199" s="73">
        <v>48000</v>
      </c>
      <c r="Q199" s="73">
        <v>48800</v>
      </c>
      <c r="R199" s="73">
        <v>50200</v>
      </c>
      <c r="S199" s="73">
        <v>51100</v>
      </c>
      <c r="T199" s="73">
        <v>53200</v>
      </c>
      <c r="U199" s="73">
        <v>53800</v>
      </c>
      <c r="V199" s="65">
        <v>55100</v>
      </c>
      <c r="W199" s="61"/>
      <c r="X199" s="58"/>
      <c r="Y199" s="58"/>
      <c r="Z199" s="58"/>
      <c r="AA199" s="58"/>
      <c r="AB199" s="58"/>
    </row>
    <row r="200" spans="2:28" x14ac:dyDescent="0.35">
      <c r="C200" s="76">
        <v>95</v>
      </c>
      <c r="D200" s="73">
        <v>34800</v>
      </c>
      <c r="E200" s="73">
        <v>36200</v>
      </c>
      <c r="F200" s="73">
        <v>38000</v>
      </c>
      <c r="G200" s="73">
        <v>38400</v>
      </c>
      <c r="H200" s="73">
        <v>39000</v>
      </c>
      <c r="I200" s="73">
        <v>40500</v>
      </c>
      <c r="J200" s="73">
        <v>43100</v>
      </c>
      <c r="K200" s="73">
        <v>44800</v>
      </c>
      <c r="L200" s="73">
        <v>46800</v>
      </c>
      <c r="M200" s="73"/>
      <c r="N200" s="73">
        <v>49300</v>
      </c>
      <c r="O200" s="73">
        <v>49000</v>
      </c>
      <c r="P200" s="73">
        <v>51500</v>
      </c>
      <c r="Q200" s="73">
        <v>52500</v>
      </c>
      <c r="R200" s="73">
        <v>54000</v>
      </c>
      <c r="S200" s="73">
        <v>55100</v>
      </c>
      <c r="T200" s="73">
        <v>57400</v>
      </c>
      <c r="U200" s="73">
        <v>57900</v>
      </c>
      <c r="V200" s="65">
        <v>59300</v>
      </c>
      <c r="W200" s="61"/>
      <c r="X200" s="58"/>
      <c r="Y200" s="58"/>
      <c r="Z200" s="58"/>
      <c r="AA200" s="58"/>
      <c r="AB200" s="58"/>
    </row>
    <row r="201" spans="2:28" x14ac:dyDescent="0.35">
      <c r="C201" s="76">
        <v>96</v>
      </c>
      <c r="D201" s="73">
        <v>37900</v>
      </c>
      <c r="E201" s="73">
        <v>39500</v>
      </c>
      <c r="F201" s="73">
        <v>41400</v>
      </c>
      <c r="G201" s="73">
        <v>41700</v>
      </c>
      <c r="H201" s="73">
        <v>42500</v>
      </c>
      <c r="I201" s="73">
        <v>44000</v>
      </c>
      <c r="J201" s="73">
        <v>47100</v>
      </c>
      <c r="K201" s="73">
        <v>49000</v>
      </c>
      <c r="L201" s="73">
        <v>51400</v>
      </c>
      <c r="M201" s="73"/>
      <c r="N201" s="73">
        <v>54100</v>
      </c>
      <c r="O201" s="73">
        <v>53500</v>
      </c>
      <c r="P201" s="73">
        <v>56500</v>
      </c>
      <c r="Q201" s="73">
        <v>57500</v>
      </c>
      <c r="R201" s="73">
        <v>59300</v>
      </c>
      <c r="S201" s="73">
        <v>60600</v>
      </c>
      <c r="T201" s="73">
        <v>63100</v>
      </c>
      <c r="U201" s="73">
        <v>63300</v>
      </c>
      <c r="V201" s="65">
        <v>65100</v>
      </c>
      <c r="W201" s="61"/>
      <c r="X201" s="58"/>
      <c r="Y201" s="58"/>
      <c r="Z201" s="58"/>
      <c r="AA201" s="58"/>
      <c r="AB201" s="58"/>
    </row>
    <row r="202" spans="2:28" x14ac:dyDescent="0.35">
      <c r="C202" s="76">
        <v>97</v>
      </c>
      <c r="D202" s="73">
        <v>42400</v>
      </c>
      <c r="E202" s="73">
        <v>44200</v>
      </c>
      <c r="F202" s="73">
        <v>46400</v>
      </c>
      <c r="G202" s="73">
        <v>46800</v>
      </c>
      <c r="H202" s="73">
        <v>47800</v>
      </c>
      <c r="I202" s="73">
        <v>49300</v>
      </c>
      <c r="J202" s="73">
        <v>53200</v>
      </c>
      <c r="K202" s="73">
        <v>55800</v>
      </c>
      <c r="L202" s="73">
        <v>58700</v>
      </c>
      <c r="M202" s="73"/>
      <c r="N202" s="73">
        <v>61100</v>
      </c>
      <c r="O202" s="73">
        <v>60100</v>
      </c>
      <c r="P202" s="73">
        <v>63600</v>
      </c>
      <c r="Q202" s="73">
        <v>65100</v>
      </c>
      <c r="R202" s="73">
        <v>67300</v>
      </c>
      <c r="S202" s="73">
        <v>68600</v>
      </c>
      <c r="T202" s="73">
        <v>71500</v>
      </c>
      <c r="U202" s="73">
        <v>71300</v>
      </c>
      <c r="V202" s="65">
        <v>73000</v>
      </c>
      <c r="W202" s="61"/>
      <c r="X202" s="58"/>
      <c r="Y202" s="58"/>
      <c r="Z202" s="58"/>
      <c r="AA202" s="58"/>
      <c r="AB202" s="58"/>
    </row>
    <row r="203" spans="2:28" x14ac:dyDescent="0.35">
      <c r="C203" s="76">
        <v>98</v>
      </c>
      <c r="D203" s="73">
        <v>50000</v>
      </c>
      <c r="E203" s="73">
        <v>52300</v>
      </c>
      <c r="F203" s="73">
        <v>54900</v>
      </c>
      <c r="G203" s="73">
        <v>55300</v>
      </c>
      <c r="H203" s="73">
        <v>56600</v>
      </c>
      <c r="I203" s="73">
        <v>58800</v>
      </c>
      <c r="J203" s="73">
        <v>64400</v>
      </c>
      <c r="K203" s="73">
        <v>67600</v>
      </c>
      <c r="L203" s="73">
        <v>71400</v>
      </c>
      <c r="M203" s="73"/>
      <c r="N203" s="73">
        <v>73900</v>
      </c>
      <c r="O203" s="73">
        <v>71100</v>
      </c>
      <c r="P203" s="73">
        <v>74500</v>
      </c>
      <c r="Q203" s="73">
        <v>75700</v>
      </c>
      <c r="R203" s="73">
        <v>77800</v>
      </c>
      <c r="S203" s="73">
        <v>78900</v>
      </c>
      <c r="T203" s="73">
        <v>81900</v>
      </c>
      <c r="U203" s="73">
        <v>81000</v>
      </c>
      <c r="V203" s="65">
        <v>84500</v>
      </c>
      <c r="W203" s="61"/>
      <c r="X203" s="58"/>
      <c r="Y203" s="58"/>
      <c r="Z203" s="58"/>
      <c r="AA203" s="58"/>
      <c r="AB203" s="58"/>
    </row>
    <row r="204" spans="2:28" ht="21" customHeight="1" thickBot="1" x14ac:dyDescent="0.4">
      <c r="B204" s="77"/>
      <c r="C204" s="77">
        <v>99</v>
      </c>
      <c r="D204" s="78">
        <v>67500</v>
      </c>
      <c r="E204" s="78">
        <v>71000</v>
      </c>
      <c r="F204" s="78">
        <v>74300</v>
      </c>
      <c r="G204" s="78">
        <v>75000</v>
      </c>
      <c r="H204" s="78">
        <v>77000</v>
      </c>
      <c r="I204" s="78">
        <v>81500</v>
      </c>
      <c r="J204" s="78">
        <v>91100</v>
      </c>
      <c r="K204" s="78">
        <v>97400</v>
      </c>
      <c r="L204" s="78">
        <v>103000</v>
      </c>
      <c r="M204" s="78"/>
      <c r="N204" s="78">
        <v>105000</v>
      </c>
      <c r="O204" s="78">
        <v>96200</v>
      </c>
      <c r="P204" s="78">
        <v>100000</v>
      </c>
      <c r="Q204" s="78">
        <v>101000</v>
      </c>
      <c r="R204" s="78">
        <v>107000</v>
      </c>
      <c r="S204" s="78">
        <v>108000</v>
      </c>
      <c r="T204" s="78">
        <v>114000</v>
      </c>
      <c r="U204" s="78">
        <v>111000</v>
      </c>
      <c r="V204" s="78">
        <v>116000</v>
      </c>
      <c r="W204" s="61"/>
      <c r="X204" s="58"/>
      <c r="Y204" s="58"/>
      <c r="Z204" s="58"/>
      <c r="AA204" s="58"/>
      <c r="AB204" s="58"/>
    </row>
    <row r="205" spans="2:28" x14ac:dyDescent="0.35">
      <c r="B205" s="79" t="s">
        <v>52</v>
      </c>
      <c r="C205" s="79"/>
      <c r="D205" s="80"/>
      <c r="E205" s="81"/>
      <c r="F205" s="81"/>
      <c r="G205" s="82"/>
      <c r="H205" s="83"/>
      <c r="I205" s="82"/>
      <c r="J205" s="82"/>
      <c r="K205" s="82"/>
      <c r="L205" s="82"/>
      <c r="M205" s="84"/>
      <c r="N205" s="84"/>
      <c r="O205" s="60"/>
      <c r="P205" s="60"/>
      <c r="Q205" s="60"/>
      <c r="R205" s="60"/>
    </row>
    <row r="206" spans="2:28" x14ac:dyDescent="0.35">
      <c r="B206" s="85" t="s">
        <v>53</v>
      </c>
      <c r="C206" s="85"/>
      <c r="D206" s="85"/>
      <c r="E206" s="86"/>
      <c r="F206" s="86"/>
      <c r="G206" s="87"/>
      <c r="H206" s="88"/>
      <c r="I206" s="87"/>
      <c r="J206" s="87"/>
      <c r="K206" s="87"/>
      <c r="L206" s="87"/>
      <c r="M206" s="84"/>
      <c r="N206" s="84"/>
      <c r="O206" s="60"/>
      <c r="P206" s="60"/>
      <c r="Q206" s="60"/>
      <c r="R206" s="60"/>
    </row>
    <row r="207" spans="2:28" ht="44.15" customHeight="1" x14ac:dyDescent="0.35">
      <c r="B207" s="174" t="s">
        <v>54</v>
      </c>
      <c r="C207" s="174"/>
      <c r="D207" s="174"/>
      <c r="E207" s="174"/>
      <c r="F207" s="174"/>
      <c r="G207" s="174"/>
      <c r="H207" s="174"/>
      <c r="I207" s="174"/>
      <c r="J207" s="174"/>
      <c r="K207" s="174"/>
      <c r="L207" s="174"/>
      <c r="M207" s="89"/>
      <c r="N207" s="89"/>
      <c r="O207" s="89"/>
      <c r="P207" s="89"/>
      <c r="Q207" s="89"/>
      <c r="R207" s="89"/>
    </row>
    <row r="208" spans="2:28" x14ac:dyDescent="0.35">
      <c r="B208" s="86"/>
      <c r="C208" s="86"/>
      <c r="D208" s="90"/>
      <c r="E208" s="91"/>
      <c r="F208" s="91"/>
      <c r="G208" s="91"/>
      <c r="H208" s="92"/>
      <c r="I208" s="91"/>
      <c r="J208" s="91"/>
      <c r="K208" s="91"/>
      <c r="L208" s="91"/>
      <c r="M208" s="89"/>
      <c r="N208" s="89"/>
      <c r="O208" s="89"/>
      <c r="P208" s="89"/>
      <c r="Q208" s="89"/>
      <c r="R208" s="89"/>
    </row>
    <row r="209" spans="2:28" x14ac:dyDescent="0.35">
      <c r="B209" s="93" t="s">
        <v>55</v>
      </c>
      <c r="C209" s="94"/>
      <c r="D209" s="95"/>
      <c r="E209" s="91"/>
      <c r="F209" s="91"/>
      <c r="G209" s="91"/>
      <c r="H209" s="92"/>
      <c r="I209" s="91"/>
      <c r="J209" s="91"/>
      <c r="K209" s="91"/>
      <c r="L209" s="91"/>
      <c r="M209" s="89"/>
      <c r="N209" s="89"/>
      <c r="O209" s="89"/>
      <c r="P209" s="89"/>
      <c r="Q209" s="89"/>
      <c r="R209" s="89"/>
    </row>
    <row r="210" spans="2:28" x14ac:dyDescent="0.35">
      <c r="B210" s="96" t="s">
        <v>56</v>
      </c>
      <c r="C210" s="96" t="s">
        <v>57</v>
      </c>
      <c r="D210" s="97"/>
      <c r="E210" s="91"/>
      <c r="F210" s="91"/>
      <c r="G210" s="91"/>
      <c r="H210" s="92"/>
      <c r="I210" s="91"/>
      <c r="J210" s="91"/>
      <c r="K210" s="91"/>
      <c r="L210" s="91"/>
      <c r="M210" s="89"/>
      <c r="N210" s="89"/>
      <c r="O210" s="89"/>
      <c r="P210" s="89"/>
      <c r="Q210" s="89"/>
      <c r="R210" s="89"/>
    </row>
    <row r="211" spans="2:28" x14ac:dyDescent="0.35">
      <c r="B211" s="86"/>
      <c r="C211" s="86"/>
      <c r="D211" s="90"/>
      <c r="E211" s="91"/>
      <c r="F211" s="91"/>
      <c r="G211" s="91"/>
      <c r="H211" s="92"/>
      <c r="I211" s="91"/>
      <c r="J211" s="91"/>
      <c r="K211" s="91"/>
      <c r="L211" s="91"/>
      <c r="M211" s="91"/>
      <c r="N211" s="91"/>
      <c r="O211" s="91"/>
      <c r="P211" s="91"/>
      <c r="Q211" s="58"/>
      <c r="R211" s="58"/>
      <c r="S211" s="58"/>
      <c r="T211" s="58"/>
      <c r="U211" s="58"/>
      <c r="V211" s="58"/>
      <c r="W211" s="61"/>
      <c r="X211" s="58"/>
      <c r="Y211" s="58"/>
      <c r="Z211" s="58"/>
      <c r="AA211" s="58"/>
      <c r="AB211" s="58"/>
    </row>
    <row r="212" spans="2:28" x14ac:dyDescent="0.35">
      <c r="B212" s="93" t="s">
        <v>58</v>
      </c>
      <c r="C212" s="98"/>
      <c r="D212" s="99"/>
      <c r="E212" s="91"/>
      <c r="F212" s="91"/>
      <c r="G212" s="91"/>
      <c r="H212" s="92"/>
      <c r="I212" s="91"/>
      <c r="J212" s="91"/>
      <c r="K212" s="91"/>
      <c r="L212" s="91"/>
      <c r="M212" s="91"/>
      <c r="N212" s="91"/>
      <c r="O212" s="91"/>
      <c r="P212" s="91"/>
      <c r="Q212" s="58"/>
      <c r="R212" s="58"/>
      <c r="S212" s="58"/>
      <c r="T212" s="58"/>
      <c r="U212" s="58"/>
      <c r="V212" s="58"/>
      <c r="W212" s="61"/>
      <c r="X212" s="58"/>
      <c r="Y212" s="58"/>
      <c r="Z212" s="58"/>
      <c r="AA212" s="58"/>
      <c r="AB212" s="58"/>
    </row>
    <row r="213" spans="2:28" x14ac:dyDescent="0.35">
      <c r="B213" s="100" t="s">
        <v>59</v>
      </c>
      <c r="C213" s="101"/>
      <c r="D213" s="102"/>
      <c r="E213" s="91"/>
      <c r="F213" s="91"/>
      <c r="G213" s="91"/>
      <c r="H213" s="92"/>
      <c r="I213" s="91"/>
      <c r="J213" s="91"/>
      <c r="K213" s="91"/>
      <c r="L213" s="91"/>
      <c r="M213" s="91"/>
      <c r="N213" s="91"/>
      <c r="O213" s="91"/>
      <c r="P213" s="91"/>
      <c r="Q213" s="58"/>
      <c r="R213" s="58"/>
      <c r="S213" s="58"/>
      <c r="T213" s="58"/>
      <c r="U213" s="58"/>
      <c r="V213" s="58"/>
      <c r="W213" s="61"/>
      <c r="X213" s="58"/>
      <c r="Y213" s="58"/>
      <c r="Z213" s="58"/>
      <c r="AA213" s="58"/>
      <c r="AB213" s="58"/>
    </row>
    <row r="214" spans="2:28" ht="49.5" customHeight="1" x14ac:dyDescent="0.35">
      <c r="B214" s="103" t="s">
        <v>60</v>
      </c>
      <c r="C214" s="181" t="s">
        <v>61</v>
      </c>
      <c r="D214" s="181"/>
      <c r="E214" s="181"/>
      <c r="F214" s="181"/>
      <c r="G214" s="181"/>
      <c r="H214" s="181"/>
      <c r="I214" s="181"/>
      <c r="J214" s="181"/>
      <c r="K214" s="181"/>
      <c r="L214" s="181"/>
      <c r="M214" s="104"/>
      <c r="N214" s="104"/>
      <c r="O214" s="89"/>
      <c r="P214" s="89"/>
      <c r="Q214" s="89"/>
      <c r="R214" s="89"/>
    </row>
    <row r="215" spans="2:28" ht="55.5" customHeight="1" x14ac:dyDescent="0.35">
      <c r="B215" s="103" t="s">
        <v>62</v>
      </c>
      <c r="C215" s="181" t="s">
        <v>63</v>
      </c>
      <c r="D215" s="181"/>
      <c r="E215" s="181"/>
      <c r="F215" s="181"/>
      <c r="G215" s="181"/>
      <c r="H215" s="181"/>
      <c r="I215" s="181"/>
      <c r="J215" s="181"/>
      <c r="K215" s="181"/>
      <c r="L215" s="181"/>
      <c r="M215" s="105"/>
      <c r="N215" s="105"/>
      <c r="O215" s="89"/>
      <c r="P215" s="89"/>
      <c r="Q215" s="89"/>
      <c r="R215" s="89"/>
    </row>
    <row r="216" spans="2:28" x14ac:dyDescent="0.35">
      <c r="B216" s="106" t="s">
        <v>64</v>
      </c>
      <c r="C216" s="182" t="s">
        <v>65</v>
      </c>
      <c r="D216" s="182"/>
      <c r="E216" s="182"/>
      <c r="F216" s="182"/>
      <c r="G216" s="182"/>
      <c r="H216" s="182"/>
      <c r="I216" s="182"/>
      <c r="J216" s="182"/>
      <c r="K216" s="182"/>
      <c r="L216" s="182"/>
      <c r="M216" s="104"/>
      <c r="N216" s="104"/>
      <c r="O216" s="89"/>
      <c r="P216" s="89"/>
      <c r="Q216" s="89"/>
      <c r="R216" s="89"/>
    </row>
    <row r="217" spans="2:28" ht="9.75" customHeight="1" x14ac:dyDescent="0.35">
      <c r="C217" s="107" t="s">
        <v>66</v>
      </c>
      <c r="D217" s="108"/>
      <c r="E217" s="108"/>
      <c r="F217" s="108"/>
      <c r="G217" s="108"/>
      <c r="H217" s="109"/>
      <c r="I217" s="108"/>
      <c r="J217" s="91"/>
      <c r="K217" s="91"/>
      <c r="L217" s="91"/>
      <c r="M217" s="105"/>
      <c r="N217" s="105"/>
      <c r="O217" s="110"/>
      <c r="P217" s="110"/>
      <c r="Q217" s="110"/>
      <c r="R217" s="110"/>
    </row>
    <row r="218" spans="2:28" x14ac:dyDescent="0.35">
      <c r="C218" s="107"/>
      <c r="D218" s="108"/>
      <c r="E218" s="108"/>
      <c r="F218" s="108"/>
      <c r="G218" s="108"/>
      <c r="H218" s="109"/>
      <c r="I218" s="108"/>
      <c r="J218" s="91"/>
      <c r="K218" s="91"/>
      <c r="L218" s="91"/>
      <c r="M218" s="105"/>
      <c r="N218" s="105"/>
      <c r="O218" s="110"/>
      <c r="P218" s="110"/>
      <c r="Q218" s="110"/>
      <c r="R218" s="110"/>
    </row>
    <row r="219" spans="2:28" x14ac:dyDescent="0.35">
      <c r="C219" s="107"/>
      <c r="D219" s="108"/>
      <c r="E219" s="108"/>
      <c r="F219" s="108"/>
      <c r="G219" s="108"/>
      <c r="H219" s="109"/>
      <c r="I219" s="108"/>
      <c r="J219" s="91"/>
      <c r="K219" s="91"/>
      <c r="L219" s="91"/>
      <c r="M219" s="105"/>
      <c r="N219" s="105"/>
      <c r="O219" s="110"/>
      <c r="P219" s="110"/>
      <c r="Q219" s="110"/>
      <c r="R219" s="110"/>
    </row>
    <row r="220" spans="2:28" x14ac:dyDescent="0.35">
      <c r="C220" s="107"/>
      <c r="D220" s="108"/>
      <c r="E220" s="108"/>
      <c r="F220" s="108"/>
      <c r="G220" s="108"/>
      <c r="H220" s="109"/>
      <c r="I220" s="108"/>
      <c r="J220" s="91"/>
      <c r="K220" s="91"/>
      <c r="L220" s="91"/>
      <c r="M220" s="105"/>
      <c r="N220" s="105"/>
      <c r="O220" s="110"/>
      <c r="P220" s="110"/>
      <c r="Q220" s="110"/>
      <c r="R220" s="110"/>
    </row>
    <row r="221" spans="2:28" x14ac:dyDescent="0.35">
      <c r="C221" s="107"/>
      <c r="D221" s="108"/>
      <c r="E221" s="108"/>
      <c r="F221" s="108"/>
      <c r="G221" s="108"/>
      <c r="H221" s="109"/>
      <c r="I221" s="108"/>
      <c r="J221" s="91"/>
      <c r="K221" s="91"/>
      <c r="L221" s="91"/>
      <c r="M221" s="105"/>
      <c r="N221" s="105"/>
      <c r="O221" s="110"/>
      <c r="P221" s="110"/>
      <c r="Q221" s="110"/>
      <c r="R221" s="110"/>
    </row>
    <row r="222" spans="2:28" ht="12.75" customHeight="1" x14ac:dyDescent="0.35">
      <c r="B222" s="53"/>
      <c r="D222" s="111"/>
      <c r="E222" s="111"/>
      <c r="G222" s="112"/>
      <c r="H222" s="112"/>
      <c r="I222" s="112"/>
      <c r="J222" s="112"/>
      <c r="K222" s="112"/>
      <c r="L222" s="112"/>
      <c r="M222" s="112"/>
      <c r="N222" s="112"/>
      <c r="O222" s="112"/>
      <c r="P222" s="112"/>
      <c r="Q222" s="112"/>
      <c r="R222" s="112"/>
    </row>
    <row r="223" spans="2:28" ht="18" customHeight="1" x14ac:dyDescent="0.35">
      <c r="B223" s="113" t="s">
        <v>67</v>
      </c>
      <c r="C223" s="98"/>
      <c r="D223" s="99"/>
      <c r="E223" s="114"/>
      <c r="F223" s="114"/>
      <c r="G223" s="115"/>
      <c r="H223" s="114"/>
      <c r="I223" s="114"/>
      <c r="J223" s="114"/>
      <c r="K223" s="114"/>
      <c r="L223" s="114"/>
      <c r="M223" s="114"/>
      <c r="N223" s="114"/>
      <c r="O223" s="114"/>
      <c r="P223" s="111"/>
      <c r="Q223" s="58"/>
      <c r="R223" s="58"/>
      <c r="S223" s="58"/>
      <c r="T223" s="58"/>
      <c r="U223" s="58"/>
      <c r="V223" s="58"/>
      <c r="W223" s="61"/>
      <c r="X223" s="58"/>
      <c r="Y223" s="58"/>
      <c r="Z223" s="58"/>
      <c r="AA223" s="58"/>
      <c r="AB223" s="58"/>
    </row>
    <row r="224" spans="2:28" x14ac:dyDescent="0.35">
      <c r="B224" s="116" t="s">
        <v>68</v>
      </c>
      <c r="C224" s="91"/>
      <c r="D224" s="117"/>
      <c r="E224" s="118"/>
      <c r="F224" s="118"/>
      <c r="G224" s="91"/>
      <c r="H224" s="118"/>
      <c r="I224" s="118"/>
      <c r="J224" s="118"/>
      <c r="K224" s="118"/>
      <c r="L224" s="118"/>
      <c r="M224" s="118"/>
      <c r="N224" s="118"/>
      <c r="O224" s="118"/>
      <c r="P224" s="111"/>
      <c r="Q224" s="58"/>
      <c r="R224" s="58"/>
      <c r="S224" s="58"/>
      <c r="T224" s="58"/>
      <c r="U224" s="58"/>
      <c r="V224" s="58"/>
      <c r="W224" s="61"/>
      <c r="X224" s="58"/>
      <c r="Y224" s="58"/>
      <c r="Z224" s="58"/>
      <c r="AA224" s="58"/>
      <c r="AB224" s="58"/>
    </row>
    <row r="225" spans="2:28" x14ac:dyDescent="0.35">
      <c r="B225" s="116" t="s">
        <v>69</v>
      </c>
      <c r="C225" s="91"/>
      <c r="D225" s="117"/>
      <c r="E225" s="91"/>
      <c r="F225" s="91"/>
      <c r="G225" s="91"/>
      <c r="H225" s="118"/>
      <c r="I225" s="118"/>
      <c r="J225" s="118"/>
      <c r="K225" s="118"/>
      <c r="L225" s="118"/>
      <c r="M225" s="118"/>
      <c r="N225" s="118"/>
      <c r="O225" s="118"/>
      <c r="P225" s="111"/>
      <c r="Q225" s="58"/>
      <c r="R225" s="58"/>
      <c r="S225" s="58"/>
      <c r="T225" s="58"/>
      <c r="U225" s="58"/>
      <c r="V225" s="58"/>
      <c r="W225" s="61"/>
      <c r="X225" s="58"/>
      <c r="Y225" s="58"/>
      <c r="Z225" s="58"/>
      <c r="AA225" s="58"/>
      <c r="AB225" s="58"/>
    </row>
    <row r="226" spans="2:28" x14ac:dyDescent="0.35">
      <c r="B226" s="116" t="s">
        <v>70</v>
      </c>
      <c r="C226" s="91"/>
      <c r="D226" s="117"/>
      <c r="E226" s="91"/>
      <c r="F226" s="91"/>
      <c r="G226" s="91"/>
      <c r="H226" s="118"/>
      <c r="I226" s="118"/>
      <c r="J226" s="118"/>
      <c r="K226" s="118"/>
      <c r="L226" s="118"/>
      <c r="M226" s="118"/>
      <c r="N226" s="118"/>
      <c r="O226" s="118"/>
      <c r="P226" s="111"/>
      <c r="Q226" s="58"/>
      <c r="R226" s="58"/>
      <c r="S226" s="58"/>
      <c r="T226" s="58"/>
      <c r="U226" s="58"/>
      <c r="V226" s="58"/>
      <c r="W226" s="61"/>
      <c r="X226" s="58"/>
      <c r="Y226" s="58"/>
      <c r="Z226" s="58"/>
      <c r="AA226" s="58"/>
      <c r="AB226" s="58"/>
    </row>
    <row r="227" spans="2:28" x14ac:dyDescent="0.35">
      <c r="B227" s="116" t="s">
        <v>71</v>
      </c>
      <c r="C227" s="91"/>
      <c r="D227" s="117"/>
      <c r="E227" s="91"/>
      <c r="F227" s="91"/>
      <c r="G227" s="91"/>
      <c r="H227" s="118"/>
      <c r="I227" s="118"/>
      <c r="J227" s="118"/>
      <c r="K227" s="118"/>
      <c r="L227" s="118"/>
      <c r="M227" s="118"/>
      <c r="N227" s="118"/>
      <c r="O227" s="118"/>
      <c r="P227" s="111"/>
      <c r="Q227" s="58"/>
      <c r="R227" s="58"/>
      <c r="S227" s="58"/>
      <c r="T227" s="58"/>
      <c r="U227" s="58"/>
      <c r="V227" s="58"/>
      <c r="W227" s="61"/>
      <c r="X227" s="58"/>
      <c r="Y227" s="58"/>
      <c r="Z227" s="58"/>
      <c r="AA227" s="58"/>
      <c r="AB227" s="58"/>
    </row>
    <row r="228" spans="2:28" x14ac:dyDescent="0.35">
      <c r="B228" s="116" t="s">
        <v>72</v>
      </c>
      <c r="C228" s="91"/>
      <c r="D228" s="117"/>
      <c r="E228" s="91"/>
      <c r="F228" s="91"/>
      <c r="G228" s="91"/>
      <c r="H228" s="91"/>
      <c r="I228" s="91"/>
      <c r="J228" s="91"/>
      <c r="K228" s="91"/>
      <c r="L228" s="91"/>
      <c r="M228" s="91"/>
      <c r="N228" s="91"/>
      <c r="O228" s="91"/>
      <c r="P228" s="53"/>
      <c r="Q228" s="58"/>
      <c r="R228" s="58"/>
      <c r="S228" s="58"/>
      <c r="T228" s="58"/>
      <c r="U228" s="58"/>
      <c r="V228" s="58"/>
      <c r="W228" s="61"/>
      <c r="X228" s="58"/>
      <c r="Y228" s="58"/>
      <c r="Z228" s="58"/>
      <c r="AA228" s="58"/>
      <c r="AB228" s="58"/>
    </row>
    <row r="229" spans="2:28" x14ac:dyDescent="0.35">
      <c r="B229" s="116" t="s">
        <v>73</v>
      </c>
      <c r="C229" s="91"/>
      <c r="D229" s="117"/>
      <c r="E229" s="91"/>
      <c r="F229" s="91"/>
      <c r="G229" s="91"/>
      <c r="H229" s="91"/>
      <c r="I229" s="91"/>
      <c r="J229" s="91"/>
      <c r="K229" s="91"/>
      <c r="L229" s="91"/>
      <c r="M229" s="91"/>
      <c r="N229" s="91"/>
      <c r="O229" s="91"/>
      <c r="P229" s="53"/>
      <c r="Q229" s="58"/>
      <c r="R229" s="58"/>
      <c r="S229" s="58"/>
      <c r="T229" s="58"/>
      <c r="U229" s="58"/>
      <c r="V229" s="58"/>
      <c r="W229" s="61"/>
      <c r="X229" s="58"/>
      <c r="Y229" s="58"/>
      <c r="Z229" s="58"/>
      <c r="AA229" s="58"/>
      <c r="AB229" s="58"/>
    </row>
    <row r="230" spans="2:28" x14ac:dyDescent="0.35">
      <c r="B230" s="116" t="s">
        <v>74</v>
      </c>
      <c r="C230" s="91"/>
      <c r="D230" s="117"/>
      <c r="E230" s="91"/>
      <c r="F230" s="91"/>
      <c r="G230" s="91"/>
      <c r="H230" s="91"/>
      <c r="I230" s="91"/>
      <c r="J230" s="91"/>
      <c r="K230" s="91"/>
      <c r="L230" s="91"/>
      <c r="M230" s="91"/>
      <c r="N230" s="91"/>
      <c r="O230" s="91"/>
      <c r="P230" s="53"/>
      <c r="Q230" s="58"/>
      <c r="R230" s="58"/>
      <c r="S230" s="58"/>
      <c r="T230" s="58"/>
      <c r="U230" s="58"/>
      <c r="V230" s="58"/>
      <c r="W230" s="61"/>
      <c r="X230" s="58"/>
      <c r="Y230" s="58"/>
      <c r="Z230" s="58"/>
      <c r="AA230" s="58"/>
      <c r="AB230" s="58"/>
    </row>
    <row r="231" spans="2:28" x14ac:dyDescent="0.35">
      <c r="B231" s="116" t="s">
        <v>75</v>
      </c>
      <c r="C231" s="91"/>
      <c r="D231" s="117"/>
      <c r="E231" s="91"/>
      <c r="F231" s="91"/>
      <c r="G231" s="91"/>
      <c r="H231" s="91"/>
      <c r="I231" s="91"/>
      <c r="J231" s="91"/>
      <c r="K231" s="91"/>
      <c r="L231" s="91"/>
      <c r="M231" s="91"/>
      <c r="N231" s="91"/>
      <c r="O231" s="91"/>
      <c r="P231" s="53"/>
      <c r="Q231" s="58"/>
      <c r="R231" s="58"/>
      <c r="S231" s="58"/>
      <c r="T231" s="58"/>
      <c r="U231" s="58"/>
      <c r="V231" s="58"/>
      <c r="W231" s="61"/>
      <c r="X231" s="58"/>
      <c r="Y231" s="58"/>
      <c r="Z231" s="58"/>
      <c r="AA231" s="58"/>
      <c r="AB231" s="58"/>
    </row>
    <row r="232" spans="2:28" ht="18" customHeight="1" x14ac:dyDescent="0.35">
      <c r="B232" s="183" t="s">
        <v>76</v>
      </c>
      <c r="C232" s="183"/>
      <c r="D232" s="183"/>
      <c r="E232" s="183"/>
      <c r="F232" s="183"/>
      <c r="G232" s="183"/>
      <c r="H232" s="183"/>
      <c r="I232" s="183"/>
      <c r="J232" s="91"/>
      <c r="K232" s="91"/>
      <c r="L232" s="91"/>
      <c r="M232" s="91"/>
      <c r="N232" s="91"/>
      <c r="O232" s="91"/>
      <c r="P232" s="53"/>
      <c r="Q232" s="58"/>
      <c r="R232" s="58"/>
      <c r="S232" s="58"/>
      <c r="T232" s="58"/>
      <c r="U232" s="58"/>
      <c r="V232" s="58"/>
      <c r="W232" s="61"/>
      <c r="X232" s="58"/>
      <c r="Y232" s="58"/>
      <c r="Z232" s="58"/>
      <c r="AA232" s="58"/>
      <c r="AB232" s="58"/>
    </row>
    <row r="233" spans="2:28" x14ac:dyDescent="0.35">
      <c r="B233" s="91" t="s">
        <v>77</v>
      </c>
      <c r="C233" s="91"/>
      <c r="D233" s="117"/>
      <c r="E233" s="91"/>
      <c r="F233" s="91"/>
      <c r="G233" s="91"/>
      <c r="H233" s="91"/>
      <c r="I233" s="91"/>
      <c r="J233" s="91"/>
      <c r="K233" s="91"/>
      <c r="L233" s="91"/>
      <c r="M233" s="91"/>
      <c r="N233" s="91"/>
      <c r="O233" s="91"/>
      <c r="P233" s="53"/>
      <c r="Q233" s="58"/>
      <c r="R233" s="58"/>
      <c r="S233" s="58"/>
      <c r="T233" s="58"/>
      <c r="U233" s="58"/>
      <c r="V233" s="58"/>
      <c r="W233" s="61"/>
      <c r="X233" s="58"/>
      <c r="Y233" s="58"/>
      <c r="Z233" s="58"/>
      <c r="AA233" s="58"/>
      <c r="AB233" s="58"/>
    </row>
    <row r="234" spans="2:28" x14ac:dyDescent="0.35">
      <c r="B234" s="184" t="s">
        <v>78</v>
      </c>
      <c r="C234" s="184"/>
      <c r="D234" s="184"/>
      <c r="E234" s="184"/>
      <c r="F234" s="119"/>
      <c r="G234" s="91"/>
      <c r="H234" s="91"/>
      <c r="I234" s="91"/>
      <c r="J234" s="91"/>
      <c r="K234" s="91"/>
      <c r="L234" s="91"/>
      <c r="M234" s="91"/>
      <c r="N234" s="91"/>
      <c r="O234" s="91"/>
      <c r="P234" s="53"/>
      <c r="Q234" s="58"/>
      <c r="R234" s="58"/>
      <c r="S234" s="58"/>
      <c r="T234" s="58"/>
      <c r="U234" s="58"/>
      <c r="V234" s="58"/>
      <c r="W234" s="61"/>
      <c r="X234" s="58"/>
      <c r="Y234" s="58"/>
      <c r="Z234" s="58"/>
      <c r="AA234" s="58"/>
      <c r="AB234" s="58"/>
    </row>
    <row r="235" spans="2:28" x14ac:dyDescent="0.35">
      <c r="B235" s="185"/>
      <c r="C235" s="185"/>
      <c r="D235" s="185"/>
      <c r="E235" s="185"/>
      <c r="F235" s="185"/>
      <c r="G235" s="185"/>
      <c r="H235" s="185"/>
      <c r="I235" s="185"/>
      <c r="J235" s="185"/>
      <c r="K235" s="185"/>
      <c r="L235" s="185"/>
      <c r="M235" s="185"/>
      <c r="N235" s="185"/>
      <c r="O235" s="185"/>
      <c r="P235" s="53"/>
      <c r="Q235" s="58"/>
      <c r="R235" s="58"/>
      <c r="S235" s="58"/>
      <c r="T235" s="58"/>
      <c r="U235" s="58"/>
      <c r="V235" s="58"/>
      <c r="W235" s="61"/>
      <c r="X235" s="58"/>
      <c r="Y235" s="58"/>
      <c r="Z235" s="58"/>
      <c r="AA235" s="58"/>
      <c r="AB235" s="58"/>
    </row>
    <row r="236" spans="2:28" ht="20.25" customHeight="1" x14ac:dyDescent="0.35">
      <c r="B236" s="113" t="s">
        <v>79</v>
      </c>
      <c r="C236" s="98"/>
      <c r="D236" s="99"/>
      <c r="E236" s="91"/>
      <c r="F236" s="91"/>
      <c r="G236" s="91"/>
      <c r="H236" s="91"/>
      <c r="I236" s="91"/>
      <c r="J236" s="91"/>
      <c r="K236" s="91"/>
      <c r="L236" s="91"/>
      <c r="M236" s="91"/>
      <c r="N236" s="91"/>
      <c r="O236" s="91"/>
      <c r="P236" s="53"/>
      <c r="Q236" s="58"/>
      <c r="R236" s="58"/>
      <c r="S236" s="58"/>
      <c r="T236" s="58"/>
      <c r="U236" s="58"/>
      <c r="V236" s="58"/>
      <c r="W236" s="61"/>
      <c r="X236" s="58"/>
      <c r="Y236" s="58"/>
      <c r="Z236" s="58"/>
      <c r="AA236" s="58"/>
      <c r="AB236" s="58"/>
    </row>
    <row r="237" spans="2:28" ht="32.15" customHeight="1" x14ac:dyDescent="0.35">
      <c r="B237" s="181" t="s">
        <v>80</v>
      </c>
      <c r="C237" s="181"/>
      <c r="D237" s="181"/>
      <c r="E237" s="181"/>
      <c r="F237" s="181"/>
      <c r="G237" s="181"/>
      <c r="H237" s="181"/>
      <c r="I237" s="181"/>
      <c r="J237" s="181"/>
      <c r="K237" s="181"/>
      <c r="L237" s="181"/>
      <c r="M237" s="181"/>
      <c r="N237" s="181"/>
      <c r="O237" s="181"/>
      <c r="P237" s="53"/>
      <c r="Q237" s="58"/>
      <c r="R237" s="58"/>
      <c r="S237" s="58"/>
      <c r="T237" s="58"/>
      <c r="U237" s="58"/>
      <c r="V237" s="58"/>
      <c r="W237" s="61"/>
      <c r="X237" s="58"/>
      <c r="Y237" s="58"/>
      <c r="Z237" s="58"/>
      <c r="AA237" s="58"/>
      <c r="AB237" s="58"/>
    </row>
    <row r="238" spans="2:28" ht="20.25" customHeight="1" x14ac:dyDescent="0.35">
      <c r="B238" s="116" t="s">
        <v>81</v>
      </c>
      <c r="C238" s="91"/>
      <c r="D238" s="117"/>
      <c r="E238" s="91"/>
      <c r="F238" s="91"/>
      <c r="G238" s="91"/>
      <c r="H238" s="91"/>
      <c r="I238" s="91"/>
      <c r="J238" s="91"/>
      <c r="K238" s="91"/>
      <c r="L238" s="91"/>
      <c r="M238" s="91"/>
      <c r="N238" s="91"/>
      <c r="O238" s="91"/>
      <c r="P238" s="53"/>
      <c r="Q238" s="58"/>
      <c r="R238" s="58"/>
      <c r="S238" s="58"/>
      <c r="T238" s="58"/>
      <c r="U238" s="58"/>
      <c r="V238" s="58"/>
      <c r="W238" s="61"/>
      <c r="X238" s="58"/>
      <c r="Y238" s="58"/>
      <c r="Z238" s="58"/>
      <c r="AA238" s="58"/>
      <c r="AB238" s="58"/>
    </row>
    <row r="239" spans="2:28" x14ac:dyDescent="0.35">
      <c r="B239" s="116" t="s">
        <v>82</v>
      </c>
      <c r="C239" s="91"/>
      <c r="D239" s="117"/>
      <c r="E239" s="91"/>
      <c r="F239" s="91"/>
      <c r="G239" s="91"/>
      <c r="H239" s="91"/>
      <c r="I239" s="91"/>
      <c r="J239" s="91"/>
      <c r="K239" s="91"/>
      <c r="L239" s="91"/>
      <c r="M239" s="91"/>
      <c r="N239" s="91"/>
      <c r="O239" s="91"/>
      <c r="P239" s="53"/>
      <c r="Q239" s="58"/>
      <c r="R239" s="58"/>
      <c r="S239" s="58"/>
      <c r="T239" s="58"/>
      <c r="U239" s="58"/>
      <c r="V239" s="58"/>
      <c r="W239" s="61"/>
      <c r="X239" s="58"/>
      <c r="Y239" s="58"/>
      <c r="Z239" s="58"/>
      <c r="AA239" s="58"/>
      <c r="AB239" s="58"/>
    </row>
    <row r="240" spans="2:28" x14ac:dyDescent="0.35">
      <c r="B240" s="116" t="s">
        <v>83</v>
      </c>
      <c r="C240" s="91"/>
      <c r="D240" s="117"/>
      <c r="E240" s="91"/>
      <c r="F240" s="91"/>
      <c r="G240" s="91"/>
      <c r="H240" s="91"/>
      <c r="I240" s="91"/>
      <c r="J240" s="91"/>
      <c r="K240" s="91"/>
      <c r="L240" s="91"/>
      <c r="M240" s="91"/>
      <c r="N240" s="91"/>
      <c r="O240" s="91"/>
      <c r="P240" s="53"/>
      <c r="Q240" s="58"/>
      <c r="R240" s="58"/>
      <c r="S240" s="58"/>
      <c r="T240" s="58"/>
      <c r="U240" s="58"/>
      <c r="V240" s="58"/>
      <c r="W240" s="61"/>
      <c r="X240" s="58"/>
      <c r="Y240" s="58"/>
      <c r="Z240" s="58"/>
      <c r="AA240" s="58"/>
      <c r="AB240" s="58"/>
    </row>
    <row r="241" spans="2:28" x14ac:dyDescent="0.35">
      <c r="B241" s="116" t="s">
        <v>84</v>
      </c>
      <c r="C241" s="91"/>
      <c r="D241" s="117"/>
      <c r="E241" s="91"/>
      <c r="F241" s="91"/>
      <c r="G241" s="91"/>
      <c r="H241" s="91"/>
      <c r="I241" s="91"/>
      <c r="J241" s="91"/>
      <c r="K241" s="91"/>
      <c r="L241" s="91"/>
      <c r="M241" s="91"/>
      <c r="N241" s="91"/>
      <c r="O241" s="91"/>
      <c r="P241" s="53"/>
      <c r="Q241" s="58"/>
      <c r="R241" s="58"/>
      <c r="S241" s="58"/>
      <c r="T241" s="58"/>
      <c r="U241" s="58"/>
      <c r="V241" s="58"/>
      <c r="W241" s="61"/>
      <c r="X241" s="58"/>
      <c r="Y241" s="58"/>
      <c r="Z241" s="58"/>
      <c r="AA241" s="58"/>
      <c r="AB241" s="58"/>
    </row>
    <row r="242" spans="2:28" x14ac:dyDescent="0.35">
      <c r="B242" s="116" t="s">
        <v>85</v>
      </c>
      <c r="C242" s="91"/>
      <c r="D242" s="117"/>
      <c r="E242" s="91"/>
      <c r="F242" s="91"/>
      <c r="G242" s="91"/>
      <c r="H242" s="91"/>
      <c r="I242" s="91"/>
      <c r="J242" s="91"/>
      <c r="K242" s="91"/>
      <c r="L242" s="91"/>
      <c r="M242" s="91"/>
      <c r="N242" s="91"/>
      <c r="O242" s="91"/>
      <c r="P242" s="53"/>
      <c r="Q242" s="58"/>
      <c r="R242" s="58"/>
      <c r="S242" s="58"/>
      <c r="T242" s="58"/>
      <c r="U242" s="58"/>
      <c r="V242" s="58"/>
      <c r="W242" s="61"/>
      <c r="X242" s="58"/>
      <c r="Y242" s="58"/>
      <c r="Z242" s="58"/>
      <c r="AA242" s="58"/>
      <c r="AB242" s="58"/>
    </row>
    <row r="243" spans="2:28" x14ac:dyDescent="0.35">
      <c r="B243" s="116" t="s">
        <v>86</v>
      </c>
      <c r="C243" s="91"/>
      <c r="D243" s="117"/>
      <c r="E243" s="91"/>
      <c r="F243" s="91"/>
      <c r="G243" s="91"/>
      <c r="H243" s="91"/>
      <c r="I243" s="91"/>
      <c r="J243" s="91"/>
      <c r="K243" s="91"/>
      <c r="L243" s="91"/>
      <c r="M243" s="91"/>
      <c r="N243" s="91"/>
      <c r="O243" s="91"/>
      <c r="P243" s="53"/>
      <c r="Q243" s="58"/>
      <c r="R243" s="58"/>
      <c r="S243" s="58"/>
      <c r="T243" s="58"/>
      <c r="U243" s="58"/>
      <c r="V243" s="58"/>
      <c r="W243" s="61"/>
      <c r="X243" s="58"/>
      <c r="Y243" s="58"/>
      <c r="Z243" s="58"/>
      <c r="AA243" s="58"/>
      <c r="AB243" s="58"/>
    </row>
    <row r="244" spans="2:28" ht="20.25" customHeight="1" x14ac:dyDescent="0.35">
      <c r="B244" s="116" t="s">
        <v>87</v>
      </c>
      <c r="C244" s="91"/>
      <c r="D244" s="117"/>
      <c r="E244" s="91"/>
      <c r="F244" s="91"/>
      <c r="G244" s="91"/>
      <c r="H244" s="91"/>
      <c r="I244" s="91"/>
      <c r="J244" s="91"/>
      <c r="K244" s="91"/>
      <c r="L244" s="91"/>
      <c r="M244" s="91"/>
      <c r="N244" s="91"/>
      <c r="O244" s="91"/>
      <c r="P244" s="53"/>
      <c r="Q244" s="58"/>
      <c r="R244" s="58"/>
      <c r="S244" s="58"/>
      <c r="T244" s="58"/>
      <c r="U244" s="58"/>
      <c r="V244" s="58"/>
      <c r="W244" s="61"/>
      <c r="X244" s="58"/>
      <c r="Y244" s="58"/>
      <c r="Z244" s="58"/>
      <c r="AA244" s="58"/>
      <c r="AB244" s="58"/>
    </row>
    <row r="245" spans="2:28" x14ac:dyDescent="0.35">
      <c r="B245" s="91" t="s">
        <v>88</v>
      </c>
      <c r="C245" s="91"/>
      <c r="D245" s="117"/>
      <c r="E245" s="91"/>
      <c r="F245" s="91"/>
      <c r="G245" s="91"/>
      <c r="H245" s="91"/>
      <c r="I245" s="91"/>
      <c r="J245" s="91"/>
      <c r="K245" s="91"/>
      <c r="L245" s="91"/>
      <c r="M245" s="91"/>
      <c r="N245" s="91"/>
      <c r="O245" s="91"/>
      <c r="P245" s="53"/>
      <c r="Q245" s="58"/>
      <c r="R245" s="58"/>
      <c r="S245" s="58"/>
      <c r="T245" s="58"/>
      <c r="U245" s="58"/>
      <c r="V245" s="58"/>
      <c r="W245" s="61"/>
      <c r="X245" s="58"/>
      <c r="Y245" s="58"/>
      <c r="Z245" s="58"/>
      <c r="AA245" s="58"/>
      <c r="AB245" s="58"/>
    </row>
    <row r="246" spans="2:28" x14ac:dyDescent="0.35">
      <c r="B246" s="120" t="s">
        <v>89</v>
      </c>
      <c r="C246" s="120"/>
      <c r="D246" s="120"/>
      <c r="E246" s="120"/>
      <c r="F246" s="120"/>
      <c r="G246" s="91"/>
      <c r="H246" s="91"/>
      <c r="I246" s="91"/>
      <c r="J246" s="91"/>
      <c r="K246" s="91"/>
      <c r="L246" s="91"/>
      <c r="M246" s="91"/>
      <c r="N246" s="91"/>
      <c r="O246" s="91"/>
      <c r="P246" s="53"/>
      <c r="Q246" s="58"/>
      <c r="R246" s="58"/>
      <c r="S246" s="58"/>
      <c r="T246" s="58"/>
      <c r="U246" s="58"/>
      <c r="V246" s="58"/>
      <c r="W246" s="61"/>
      <c r="X246" s="58"/>
      <c r="Y246" s="58"/>
      <c r="Z246" s="58"/>
      <c r="AA246" s="58"/>
      <c r="AB246" s="58"/>
    </row>
    <row r="247" spans="2:28" x14ac:dyDescent="0.35">
      <c r="C247" s="115"/>
      <c r="D247" s="115"/>
      <c r="E247" s="121"/>
      <c r="F247" s="121"/>
      <c r="G247" s="121"/>
      <c r="H247" s="121"/>
      <c r="I247" s="121"/>
      <c r="J247" s="121"/>
      <c r="K247" s="121"/>
      <c r="L247" s="121"/>
      <c r="M247" s="121"/>
      <c r="R247" s="121"/>
      <c r="S247" s="121"/>
      <c r="T247" s="121"/>
      <c r="U247" s="121"/>
      <c r="V247" s="121"/>
      <c r="W247" s="122"/>
    </row>
  </sheetData>
  <mergeCells count="13">
    <mergeCell ref="B237:O237"/>
    <mergeCell ref="C214:L214"/>
    <mergeCell ref="C215:L215"/>
    <mergeCell ref="C216:L216"/>
    <mergeCell ref="B232:I232"/>
    <mergeCell ref="B234:E234"/>
    <mergeCell ref="B235:O235"/>
    <mergeCell ref="B207:L207"/>
    <mergeCell ref="B1:C2"/>
    <mergeCell ref="D2:J2"/>
    <mergeCell ref="D4:J4"/>
    <mergeCell ref="B5:C5"/>
    <mergeCell ref="B105:C105"/>
  </mergeCells>
  <hyperlinks>
    <hyperlink ref="B234" r:id="rId1" display="http://www.hmrc.gov.uk/" xr:uid="{00000000-0004-0000-0200-000000000000}"/>
    <hyperlink ref="B246" r:id="rId2" display="http://www.statistics.gov.uk/" xr:uid="{00000000-0004-0000-0200-000001000000}"/>
    <hyperlink ref="C216" r:id="rId3" display="Personal Income Statistics release" xr:uid="{00000000-0004-0000-0200-000002000000}"/>
    <hyperlink ref="C217" r:id="rId4" xr:uid="{00000000-0004-0000-0200-000003000000}"/>
  </hyperlinks>
  <pageMargins left="0.75" right="0.75" top="1" bottom="1" header="0.5" footer="0.5"/>
  <pageSetup paperSize="9" scale="42" fitToHeight="2" orientation="portrait" r:id="rId5"/>
  <headerFooter alignWithMargins="0"/>
  <rowBreaks count="1" manualBreakCount="1">
    <brk id="221" min="2" max="16" man="1"/>
  </rowBreaks>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49D9C81E838C74F985EEA30EC4BB229" ma:contentTypeVersion="13" ma:contentTypeDescription="Create a new document." ma:contentTypeScope="" ma:versionID="b52a625ef22c76096cefa2e648bf2a86">
  <xsd:schema xmlns:xsd="http://www.w3.org/2001/XMLSchema" xmlns:xs="http://www.w3.org/2001/XMLSchema" xmlns:p="http://schemas.microsoft.com/office/2006/metadata/properties" xmlns:ns3="38ba4c33-77d7-48b1-9088-3ac9cbe3275a" xmlns:ns4="2fb9d49a-94b6-4702-8584-f5659814f446" targetNamespace="http://schemas.microsoft.com/office/2006/metadata/properties" ma:root="true" ma:fieldsID="8aa351faeec03d5dfad9f95c271b92fd" ns3:_="" ns4:_="">
    <xsd:import namespace="38ba4c33-77d7-48b1-9088-3ac9cbe3275a"/>
    <xsd:import namespace="2fb9d49a-94b6-4702-8584-f5659814f446"/>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ba4c33-77d7-48b1-9088-3ac9cbe3275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fb9d49a-94b6-4702-8584-f5659814f446"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201232D-1F3F-439F-9532-D24295F6CAC7}">
  <ds:schemaRefs>
    <ds:schemaRef ds:uri="http://schemas.microsoft.com/sharepoint/v3/contenttype/forms"/>
  </ds:schemaRefs>
</ds:datastoreItem>
</file>

<file path=customXml/itemProps2.xml><?xml version="1.0" encoding="utf-8"?>
<ds:datastoreItem xmlns:ds="http://schemas.openxmlformats.org/officeDocument/2006/customXml" ds:itemID="{C929F93B-81B5-4E0A-A06D-5C039B860FB7}">
  <ds:schemaRefs>
    <ds:schemaRef ds:uri="http://schemas.microsoft.com/office/2006/documentManagement/types"/>
    <ds:schemaRef ds:uri="http://schemas.openxmlformats.org/package/2006/metadata/core-properties"/>
    <ds:schemaRef ds:uri="http://purl.org/dc/dcmitype/"/>
    <ds:schemaRef ds:uri="http://schemas.microsoft.com/office/infopath/2007/PartnerControls"/>
    <ds:schemaRef ds:uri="2fb9d49a-94b6-4702-8584-f5659814f446"/>
    <ds:schemaRef ds:uri="http://purl.org/dc/elements/1.1/"/>
    <ds:schemaRef ds:uri="http://schemas.microsoft.com/office/2006/metadata/properties"/>
    <ds:schemaRef ds:uri="38ba4c33-77d7-48b1-9088-3ac9cbe3275a"/>
    <ds:schemaRef ds:uri="http://www.w3.org/XML/1998/namespace"/>
    <ds:schemaRef ds:uri="http://purl.org/dc/terms/"/>
  </ds:schemaRefs>
</ds:datastoreItem>
</file>

<file path=customXml/itemProps3.xml><?xml version="1.0" encoding="utf-8"?>
<ds:datastoreItem xmlns:ds="http://schemas.openxmlformats.org/officeDocument/2006/customXml" ds:itemID="{4061B096-1EA4-44FC-98C3-2F47799321E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ba4c33-77d7-48b1-9088-3ac9cbe3275a"/>
    <ds:schemaRef ds:uri="2fb9d49a-94b6-4702-8584-f5659814f44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HowToSelectASplitForAnn.Income</vt:lpstr>
      <vt:lpstr>IncomeDiscretisatedInverseGauss</vt:lpstr>
      <vt:lpstr>Income Discretised ReversPareto</vt:lpstr>
    </vt:vector>
  </TitlesOfParts>
  <Company>University of Leeds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Abdulrahman Altahhan</dc:creator>
  <cp:lastModifiedBy>Liev</cp:lastModifiedBy>
  <dcterms:created xsi:type="dcterms:W3CDTF">2021-02-17T08:32:44Z</dcterms:created>
  <dcterms:modified xsi:type="dcterms:W3CDTF">2021-11-11T14:07:29Z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0x010100749D9C81E838C74F985EEA30EC4BB229</vt:lpwstr>
  </property>
</Properties>
</file>