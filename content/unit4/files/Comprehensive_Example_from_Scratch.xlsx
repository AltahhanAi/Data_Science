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leeds365-my.sharepoint.com/personal/scsaalt_leeds_ac_uk/Documents/Downloads/Resources for ODL MSc/Data Science Contents/unit3/"/>
    </mc:Choice>
  </mc:AlternateContent>
  <bookViews>
    <workbookView xWindow="0" yWindow="0" windowWidth="28800" windowHeight="12345"/>
  </bookViews>
  <sheets>
    <sheet name="LR" sheetId="1" r:id="rId1"/>
  </sheets>
  <definedNames>
    <definedName name="eta">LR!$C$37</definedName>
    <definedName name="etaN">LR!$D$37</definedName>
    <definedName name="N">LR!$D$17</definedName>
    <definedName name="noise">LR!$B$10</definedName>
    <definedName name="noise_a">LR!$B$10</definedName>
    <definedName name="noise_m">LR!$B$12</definedName>
    <definedName name="t">LR!$G$8:$G$17</definedName>
    <definedName name="w">LR!$Y$38:$Y$39</definedName>
    <definedName name="w_d0">LR!$C$7</definedName>
    <definedName name="w_d1">LR!$C$8</definedName>
    <definedName name="w_GD">LR!$AI$38:$AI$39</definedName>
    <definedName name="X">LR!$E$8:$F$17</definedName>
    <definedName name="x0">LR!$E$8:$E$17</definedName>
    <definedName name="XT">LR!$E$24:$N$25</definedName>
    <definedName name="XTt">LR!$J$30:$J$31</definedName>
    <definedName name="XTX">LR!$E$27:$F$28</definedName>
    <definedName name="XTX1">LR!$E$30:$F$31</definedName>
    <definedName name="y_GD">LR!$I$8:$I$17</definedName>
    <definedName name="y_ls">LR!$H$8:$H$17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0" i="1" l="1"/>
  <c r="AA31" i="1" s="1"/>
  <c r="AA32" i="1" s="1"/>
  <c r="AA9" i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B8" i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G8" i="1"/>
  <c r="G9" i="1"/>
  <c r="G10" i="1"/>
  <c r="G11" i="1"/>
  <c r="G12" i="1"/>
  <c r="G13" i="1"/>
  <c r="G14" i="1"/>
  <c r="G15" i="1"/>
  <c r="G16" i="1"/>
  <c r="G17" i="1"/>
  <c r="D37" i="1"/>
  <c r="E24" i="1" a="1"/>
  <c r="E24" i="1" s="1"/>
  <c r="I25" i="1" l="1"/>
  <c r="I24" i="1"/>
  <c r="N25" i="1"/>
  <c r="H24" i="1"/>
  <c r="M25" i="1"/>
  <c r="E25" i="1"/>
  <c r="G24" i="1"/>
  <c r="J25" i="1"/>
  <c r="H25" i="1"/>
  <c r="J24" i="1"/>
  <c r="F25" i="1"/>
  <c r="L25" i="1"/>
  <c r="N24" i="1"/>
  <c r="F24" i="1"/>
  <c r="L24" i="1"/>
  <c r="K24" i="1"/>
  <c r="G25" i="1"/>
  <c r="K25" i="1"/>
  <c r="M24" i="1"/>
  <c r="E27" i="1" l="1" a="1"/>
  <c r="E27" i="1" l="1"/>
  <c r="F27" i="1"/>
  <c r="F28" i="1"/>
  <c r="E28" i="1"/>
  <c r="E30" i="1" l="1" a="1"/>
  <c r="E30" i="1" s="1"/>
  <c r="E31" i="1" l="1"/>
  <c r="F30" i="1"/>
  <c r="F31" i="1"/>
  <c r="F32" i="1" l="1" a="1"/>
  <c r="F32" i="1" s="1"/>
  <c r="G38" i="1" a="1"/>
  <c r="G38" i="1" s="1"/>
  <c r="J30" i="1" a="1"/>
  <c r="J30" i="1" s="1"/>
  <c r="G39" i="1" l="1"/>
  <c r="H38" i="1" s="1" a="1"/>
  <c r="J31" i="1"/>
  <c r="P30" i="1" s="1" a="1"/>
  <c r="F33" i="1"/>
  <c r="H8" i="1" s="1" a="1"/>
  <c r="P30" i="1" l="1"/>
  <c r="P31" i="1"/>
  <c r="H38" i="1"/>
  <c r="H39" i="1"/>
  <c r="H15" i="1"/>
  <c r="H14" i="1"/>
  <c r="H13" i="1"/>
  <c r="H12" i="1"/>
  <c r="H16" i="1"/>
  <c r="H10" i="1"/>
  <c r="H9" i="1"/>
  <c r="H17" i="1"/>
  <c r="H11" i="1"/>
  <c r="H8" i="1"/>
  <c r="J8" i="1" l="1" a="1"/>
  <c r="J12" i="1" s="1"/>
  <c r="K8" i="1" a="1"/>
  <c r="H18" i="1"/>
  <c r="I38" i="1" a="1"/>
  <c r="I39" i="1" s="1"/>
  <c r="J10" i="1" l="1"/>
  <c r="L10" i="1" s="1"/>
  <c r="M10" i="1" s="1"/>
  <c r="J17" i="1"/>
  <c r="J9" i="1"/>
  <c r="J16" i="1"/>
  <c r="L16" i="1" s="1"/>
  <c r="M16" i="1" s="1"/>
  <c r="J14" i="1"/>
  <c r="L14" i="1" s="1"/>
  <c r="M14" i="1" s="1"/>
  <c r="J8" i="1"/>
  <c r="L8" i="1" s="1"/>
  <c r="M8" i="1" s="1"/>
  <c r="J13" i="1"/>
  <c r="L13" i="1" s="1"/>
  <c r="M13" i="1" s="1"/>
  <c r="J15" i="1"/>
  <c r="L15" i="1" s="1"/>
  <c r="M15" i="1" s="1"/>
  <c r="J11" i="1"/>
  <c r="L11" i="1" s="1"/>
  <c r="M11" i="1" s="1"/>
  <c r="K15" i="1"/>
  <c r="K9" i="1"/>
  <c r="K8" i="1"/>
  <c r="K16" i="1"/>
  <c r="K17" i="1"/>
  <c r="K10" i="1"/>
  <c r="K11" i="1"/>
  <c r="K14" i="1"/>
  <c r="K12" i="1"/>
  <c r="K13" i="1"/>
  <c r="L9" i="1"/>
  <c r="M9" i="1" s="1"/>
  <c r="L17" i="1"/>
  <c r="M17" i="1" s="1"/>
  <c r="L12" i="1"/>
  <c r="M12" i="1" s="1"/>
  <c r="I38" i="1"/>
  <c r="J38" i="1" s="1" a="1"/>
  <c r="J38" i="1" s="1"/>
  <c r="K18" i="1" l="1"/>
  <c r="J39" i="1"/>
  <c r="K38" i="1" s="1" a="1"/>
  <c r="K38" i="1" s="1"/>
  <c r="K39" i="1" l="1"/>
  <c r="L38" i="1" s="1" a="1"/>
  <c r="L38" i="1" s="1"/>
  <c r="L39" i="1" l="1"/>
  <c r="M38" i="1" s="1" a="1"/>
  <c r="M39" i="1" s="1"/>
  <c r="M38" i="1" l="1"/>
  <c r="N38" i="1" s="1" a="1"/>
  <c r="N38" i="1" l="1"/>
  <c r="N39" i="1"/>
  <c r="O38" i="1" l="1" a="1"/>
  <c r="O38" i="1" l="1"/>
  <c r="O39" i="1"/>
  <c r="P38" i="1" l="1" a="1"/>
  <c r="P39" i="1" s="1"/>
  <c r="P38" i="1" l="1"/>
  <c r="Q38" i="1" s="1" a="1"/>
  <c r="Q38" i="1" s="1"/>
  <c r="Q39" i="1" l="1"/>
  <c r="R38" i="1" s="1" a="1"/>
  <c r="R39" i="1" l="1"/>
  <c r="R38" i="1"/>
  <c r="S38" i="1" l="1" a="1"/>
  <c r="S39" i="1" s="1"/>
  <c r="S38" i="1" l="1"/>
  <c r="T38" i="1" s="1" a="1"/>
  <c r="T39" i="1" s="1"/>
  <c r="T38" i="1" l="1"/>
  <c r="U38" i="1" s="1" a="1"/>
  <c r="U39" i="1" s="1"/>
  <c r="U38" i="1" l="1"/>
  <c r="V38" i="1" s="1" a="1"/>
  <c r="V38" i="1" l="1"/>
  <c r="V39" i="1"/>
  <c r="W38" i="1" l="1" a="1"/>
  <c r="W39" i="1" s="1"/>
  <c r="W38" i="1" l="1"/>
  <c r="X38" i="1" s="1" a="1"/>
  <c r="X38" i="1" s="1"/>
  <c r="X39" i="1" l="1"/>
  <c r="Y38" i="1" s="1" a="1"/>
  <c r="Y38" i="1" l="1"/>
  <c r="Y39" i="1"/>
  <c r="Z38" i="1" l="1" a="1"/>
  <c r="Z39" i="1" l="1"/>
  <c r="Z38" i="1"/>
  <c r="AA38" i="1" l="1" a="1"/>
  <c r="AA38" i="1" s="1"/>
  <c r="AA39" i="1" l="1"/>
  <c r="AB38" i="1" s="1" a="1"/>
  <c r="AB38" i="1" l="1"/>
  <c r="AB39" i="1"/>
  <c r="AC38" i="1" s="1" a="1"/>
  <c r="AC39" i="1" s="1"/>
  <c r="AC38" i="1" l="1"/>
  <c r="AD38" i="1" s="1" a="1"/>
  <c r="AD38" i="1" s="1"/>
  <c r="AD39" i="1" l="1"/>
  <c r="AE38" i="1" s="1" a="1"/>
  <c r="AE39" i="1" s="1"/>
  <c r="AE38" i="1" l="1"/>
  <c r="AF38" i="1" s="1" a="1"/>
  <c r="AF38" i="1" s="1"/>
  <c r="AF39" i="1" l="1"/>
  <c r="AG38" i="1" s="1" a="1"/>
  <c r="AG38" i="1" s="1"/>
  <c r="AG39" i="1" l="1"/>
  <c r="AH38" i="1" a="1"/>
  <c r="AH39" i="1" s="1"/>
  <c r="AH38" i="1" l="1"/>
  <c r="AI38" i="1" s="1" a="1"/>
  <c r="AI38" i="1" s="1"/>
  <c r="AI39" i="1" l="1"/>
  <c r="AJ38" i="1" s="1" a="1"/>
  <c r="AJ39" i="1" l="1"/>
  <c r="AJ38" i="1"/>
  <c r="AK38" i="1" l="1" a="1"/>
  <c r="AK38" i="1" s="1"/>
  <c r="AK39" i="1" l="1"/>
  <c r="AL38" i="1" s="1" a="1"/>
  <c r="AL39" i="1" l="1"/>
  <c r="AL38" i="1"/>
  <c r="AM38" i="1" l="1" a="1"/>
  <c r="AM38" i="1" s="1"/>
  <c r="AM39" i="1" l="1"/>
  <c r="AN38" i="1" s="1" a="1"/>
  <c r="AN39" i="1" l="1"/>
  <c r="AN38" i="1"/>
  <c r="AO38" i="1" l="1" a="1"/>
  <c r="AO38" i="1" s="1"/>
  <c r="AO39" i="1" l="1"/>
  <c r="AP38" i="1" s="1" a="1"/>
  <c r="AP38" i="1" s="1"/>
  <c r="AP39" i="1" l="1"/>
  <c r="AQ38" i="1" s="1" a="1"/>
  <c r="AQ39" i="1" l="1"/>
  <c r="AQ38" i="1"/>
  <c r="AR38" i="1" l="1" a="1"/>
  <c r="AR38" i="1" s="1"/>
  <c r="AR39" i="1" l="1"/>
  <c r="AS38" i="1" s="1" a="1"/>
  <c r="AS38" i="1" s="1"/>
  <c r="AS39" i="1" l="1"/>
  <c r="I8" i="1" l="1" a="1"/>
  <c r="I13" i="1" s="1"/>
  <c r="I11" i="1" l="1"/>
  <c r="I10" i="1"/>
  <c r="I17" i="1"/>
  <c r="I14" i="1"/>
  <c r="I9" i="1"/>
  <c r="I16" i="1"/>
  <c r="I15" i="1"/>
  <c r="I8" i="1"/>
  <c r="I12" i="1"/>
  <c r="I18" i="1" l="1"/>
</calcChain>
</file>

<file path=xl/sharedStrings.xml><?xml version="1.0" encoding="utf-8"?>
<sst xmlns="http://schemas.openxmlformats.org/spreadsheetml/2006/main" count="37" uniqueCount="28">
  <si>
    <t>Univariate Regression</t>
  </si>
  <si>
    <t>X</t>
  </si>
  <si>
    <t>t</t>
  </si>
  <si>
    <r>
      <rPr>
        <i/>
        <sz val="20"/>
        <color theme="1"/>
        <rFont val="Palatino Linotype"/>
        <family val="1"/>
      </rPr>
      <t>x</t>
    </r>
    <r>
      <rPr>
        <vertAlign val="subscript"/>
        <sz val="20"/>
        <color theme="1"/>
        <rFont val="Palatino Linotype"/>
        <family val="1"/>
      </rPr>
      <t>0</t>
    </r>
  </si>
  <si>
    <r>
      <rPr>
        <i/>
        <sz val="20"/>
        <color theme="1"/>
        <rFont val="Palatino Linotype"/>
        <family val="1"/>
      </rPr>
      <t>x</t>
    </r>
    <r>
      <rPr>
        <vertAlign val="subscript"/>
        <sz val="20"/>
        <color theme="1"/>
        <rFont val="Palatino Linotype"/>
        <family val="1"/>
      </rPr>
      <t>1</t>
    </r>
  </si>
  <si>
    <t>Comprehensive LR Example</t>
  </si>
  <si>
    <r>
      <t>Least Squares             w</t>
    </r>
    <r>
      <rPr>
        <sz val="22"/>
        <color theme="1"/>
        <rFont val="Palatino Linotype"/>
        <family val="1"/>
      </rPr>
      <t>*=(</t>
    </r>
    <r>
      <rPr>
        <b/>
        <sz val="22"/>
        <color theme="1"/>
        <rFont val="Palatino Linotype"/>
        <family val="1"/>
      </rPr>
      <t>X</t>
    </r>
    <r>
      <rPr>
        <vertAlign val="superscript"/>
        <sz val="22"/>
        <color theme="1"/>
        <rFont val="Palatino Linotype"/>
        <family val="1"/>
      </rPr>
      <t>⊤</t>
    </r>
    <r>
      <rPr>
        <b/>
        <sz val="22"/>
        <color theme="1"/>
        <rFont val="Palatino Linotype"/>
        <family val="1"/>
      </rPr>
      <t>X</t>
    </r>
    <r>
      <rPr>
        <sz val="22"/>
        <color theme="1"/>
        <rFont val="Palatino Linotype"/>
        <family val="1"/>
      </rPr>
      <t>)</t>
    </r>
    <r>
      <rPr>
        <vertAlign val="superscript"/>
        <sz val="22"/>
        <color theme="1"/>
        <rFont val="Palatino Linotype"/>
        <family val="1"/>
      </rPr>
      <t>-1</t>
    </r>
    <r>
      <rPr>
        <sz val="22"/>
        <color theme="1"/>
        <rFont val="Palatino Linotype"/>
        <family val="1"/>
      </rPr>
      <t>(</t>
    </r>
    <r>
      <rPr>
        <b/>
        <sz val="22"/>
        <color theme="1"/>
        <rFont val="Palatino Linotype"/>
        <family val="1"/>
      </rPr>
      <t>X</t>
    </r>
    <r>
      <rPr>
        <b/>
        <vertAlign val="superscript"/>
        <sz val="22"/>
        <color theme="1"/>
        <rFont val="Palatino Linotype"/>
        <family val="1"/>
      </rPr>
      <t>T</t>
    </r>
    <r>
      <rPr>
        <b/>
        <sz val="22"/>
        <color theme="1"/>
        <rFont val="Palatino Linotype"/>
        <family val="1"/>
      </rPr>
      <t>t</t>
    </r>
    <r>
      <rPr>
        <sz val="22"/>
        <color theme="1"/>
        <rFont val="Palatino Linotype"/>
        <family val="1"/>
      </rPr>
      <t>)</t>
    </r>
  </si>
  <si>
    <r>
      <rPr>
        <sz val="22"/>
        <color theme="1"/>
        <rFont val="Palatino Linotype"/>
        <family val="1"/>
      </rPr>
      <t>(</t>
    </r>
    <r>
      <rPr>
        <b/>
        <sz val="22"/>
        <color theme="1"/>
        <rFont val="Palatino Linotype"/>
        <family val="1"/>
      </rPr>
      <t>X</t>
    </r>
    <r>
      <rPr>
        <vertAlign val="superscript"/>
        <sz val="22"/>
        <color theme="1"/>
        <rFont val="Palatino Linotype"/>
        <family val="1"/>
      </rPr>
      <t>⊤</t>
    </r>
    <r>
      <rPr>
        <b/>
        <sz val="22"/>
        <color theme="1"/>
        <rFont val="Palatino Linotype"/>
        <family val="1"/>
      </rPr>
      <t>X</t>
    </r>
    <r>
      <rPr>
        <sz val="22"/>
        <color theme="1"/>
        <rFont val="Palatino Linotype"/>
        <family val="1"/>
      </rPr>
      <t>)</t>
    </r>
    <r>
      <rPr>
        <vertAlign val="superscript"/>
        <sz val="22"/>
        <color theme="1"/>
        <rFont val="Palatino Linotype"/>
        <family val="1"/>
      </rPr>
      <t>-1</t>
    </r>
    <r>
      <rPr>
        <b/>
        <sz val="22"/>
        <color theme="1"/>
        <rFont val="Palatino Linotype"/>
        <family val="1"/>
      </rPr>
      <t/>
    </r>
  </si>
  <si>
    <r>
      <t>w</t>
    </r>
    <r>
      <rPr>
        <sz val="20"/>
        <color theme="1"/>
        <rFont val="Palatino Linotype"/>
        <family val="1"/>
      </rPr>
      <t>*=(</t>
    </r>
    <r>
      <rPr>
        <b/>
        <sz val="20"/>
        <color theme="1"/>
        <rFont val="Palatino Linotype"/>
        <family val="1"/>
      </rPr>
      <t>X</t>
    </r>
    <r>
      <rPr>
        <vertAlign val="superscript"/>
        <sz val="20"/>
        <color theme="1"/>
        <rFont val="Palatino Linotype"/>
        <family val="1"/>
      </rPr>
      <t>⊤</t>
    </r>
    <r>
      <rPr>
        <b/>
        <sz val="20"/>
        <color theme="1"/>
        <rFont val="Palatino Linotype"/>
        <family val="1"/>
      </rPr>
      <t>X</t>
    </r>
    <r>
      <rPr>
        <sz val="20"/>
        <color theme="1"/>
        <rFont val="Palatino Linotype"/>
        <family val="1"/>
      </rPr>
      <t>)</t>
    </r>
    <r>
      <rPr>
        <vertAlign val="superscript"/>
        <sz val="20"/>
        <color theme="1"/>
        <rFont val="Palatino Linotype"/>
        <family val="1"/>
      </rPr>
      <t>-1</t>
    </r>
    <r>
      <rPr>
        <b/>
        <sz val="20"/>
        <color theme="1"/>
        <rFont val="Palatino Linotype"/>
        <family val="1"/>
      </rPr>
      <t>X</t>
    </r>
    <r>
      <rPr>
        <vertAlign val="superscript"/>
        <sz val="20"/>
        <color theme="1"/>
        <rFont val="Palatino Linotype"/>
        <family val="1"/>
      </rPr>
      <t>⊤</t>
    </r>
    <r>
      <rPr>
        <b/>
        <sz val="20"/>
        <color theme="1"/>
        <rFont val="Palatino Linotype"/>
        <family val="1"/>
      </rPr>
      <t>t</t>
    </r>
  </si>
  <si>
    <r>
      <t>X</t>
    </r>
    <r>
      <rPr>
        <vertAlign val="superscript"/>
        <sz val="20"/>
        <color theme="1"/>
        <rFont val="Palatino Linotype"/>
        <family val="1"/>
      </rPr>
      <t>⊤</t>
    </r>
    <r>
      <rPr>
        <b/>
        <sz val="20"/>
        <color theme="1"/>
        <rFont val="Palatino Linotype"/>
        <family val="1"/>
      </rPr>
      <t>X</t>
    </r>
  </si>
  <si>
    <r>
      <t>X</t>
    </r>
    <r>
      <rPr>
        <vertAlign val="superscript"/>
        <sz val="20"/>
        <color theme="1"/>
        <rFont val="Palatino Linotype"/>
        <family val="1"/>
      </rPr>
      <t>⊤</t>
    </r>
  </si>
  <si>
    <r>
      <t>X</t>
    </r>
    <r>
      <rPr>
        <vertAlign val="superscript"/>
        <sz val="22"/>
        <color theme="1"/>
        <rFont val="Palatino Linotype"/>
        <family val="1"/>
      </rPr>
      <t>⊤</t>
    </r>
    <r>
      <rPr>
        <b/>
        <sz val="22"/>
        <color theme="1"/>
        <rFont val="Palatino Linotype"/>
        <family val="1"/>
      </rPr>
      <t>t</t>
    </r>
  </si>
  <si>
    <t>η</t>
  </si>
  <si>
    <t>Loss</t>
  </si>
  <si>
    <r>
      <t>w</t>
    </r>
    <r>
      <rPr>
        <i/>
        <vertAlign val="subscript"/>
        <sz val="20"/>
        <color theme="1"/>
        <rFont val="Palatino Linotype"/>
        <family val="1"/>
      </rPr>
      <t>0</t>
    </r>
  </si>
  <si>
    <r>
      <t>w</t>
    </r>
    <r>
      <rPr>
        <i/>
        <vertAlign val="subscript"/>
        <sz val="20"/>
        <color theme="1"/>
        <rFont val="Palatino Linotype"/>
        <family val="1"/>
      </rPr>
      <t>1</t>
    </r>
  </si>
  <si>
    <r>
      <rPr>
        <b/>
        <sz val="24"/>
        <color theme="1"/>
        <rFont val="Palatino Linotype"/>
        <family val="1"/>
      </rPr>
      <t>w</t>
    </r>
    <r>
      <rPr>
        <b/>
        <vertAlign val="subscript"/>
        <sz val="16"/>
        <color theme="1"/>
        <rFont val="Palatino Linotype"/>
        <family val="1"/>
      </rPr>
      <t>GD</t>
    </r>
  </si>
  <si>
    <r>
      <rPr>
        <b/>
        <sz val="24"/>
        <color theme="1"/>
        <rFont val="Palatino Linotype"/>
        <family val="1"/>
      </rPr>
      <t>w</t>
    </r>
    <r>
      <rPr>
        <sz val="20"/>
        <color theme="1"/>
        <rFont val="Palatino Linotype"/>
        <family val="1"/>
      </rPr>
      <t>*</t>
    </r>
  </si>
  <si>
    <r>
      <t>η/</t>
    </r>
    <r>
      <rPr>
        <vertAlign val="subscript"/>
        <sz val="22"/>
        <color theme="1"/>
        <rFont val="Palatino Linotype"/>
        <family val="1"/>
      </rPr>
      <t>N</t>
    </r>
  </si>
  <si>
    <r>
      <t xml:space="preserve">Batch Gradient Descent             w </t>
    </r>
    <r>
      <rPr>
        <sz val="22"/>
        <color theme="1"/>
        <rFont val="Palatino Linotype"/>
        <family val="1"/>
      </rPr>
      <t xml:space="preserve">= </t>
    </r>
    <r>
      <rPr>
        <b/>
        <sz val="22"/>
        <color theme="1"/>
        <rFont val="Palatino Linotype"/>
        <family val="1"/>
      </rPr>
      <t xml:space="preserve">w </t>
    </r>
    <r>
      <rPr>
        <sz val="22"/>
        <color theme="1"/>
        <rFont val="Palatino Linotype"/>
        <family val="1"/>
      </rPr>
      <t>+ (</t>
    </r>
    <r>
      <rPr>
        <sz val="20"/>
        <color theme="1"/>
        <rFont val="Palatino Linotype"/>
        <family val="1"/>
      </rPr>
      <t>η</t>
    </r>
    <r>
      <rPr>
        <sz val="22"/>
        <color theme="1"/>
        <rFont val="Palatino Linotype"/>
        <family val="1"/>
      </rPr>
      <t>/</t>
    </r>
    <r>
      <rPr>
        <sz val="15"/>
        <color theme="1"/>
        <rFont val="Palatino Linotype"/>
        <family val="1"/>
      </rPr>
      <t>N</t>
    </r>
    <r>
      <rPr>
        <sz val="22"/>
        <color theme="1"/>
        <rFont val="Palatino Linotype"/>
        <family val="1"/>
      </rPr>
      <t xml:space="preserve">) </t>
    </r>
    <r>
      <rPr>
        <b/>
        <sz val="22"/>
        <color theme="1"/>
        <rFont val="Palatino Linotype"/>
        <family val="1"/>
      </rPr>
      <t>X</t>
    </r>
    <r>
      <rPr>
        <vertAlign val="superscript"/>
        <sz val="22"/>
        <color theme="1"/>
        <rFont val="Palatino Linotype"/>
        <family val="1"/>
      </rPr>
      <t>⊤</t>
    </r>
    <r>
      <rPr>
        <sz val="22"/>
        <color theme="1"/>
        <rFont val="Palatino Linotype"/>
        <family val="1"/>
      </rPr>
      <t>(</t>
    </r>
    <r>
      <rPr>
        <b/>
        <sz val="22"/>
        <color theme="1"/>
        <rFont val="Palatino Linotype"/>
        <family val="1"/>
      </rPr>
      <t xml:space="preserve">t </t>
    </r>
    <r>
      <rPr>
        <sz val="22"/>
        <color theme="1"/>
        <rFont val="Palatino Linotype"/>
        <family val="1"/>
      </rPr>
      <t xml:space="preserve">- </t>
    </r>
    <r>
      <rPr>
        <b/>
        <sz val="22"/>
        <color theme="1"/>
        <rFont val="Palatino Linotype"/>
        <family val="1"/>
      </rPr>
      <t>Xw</t>
    </r>
    <r>
      <rPr>
        <sz val="22"/>
        <color theme="1"/>
        <rFont val="Palatino Linotype"/>
        <family val="1"/>
      </rPr>
      <t>)</t>
    </r>
  </si>
  <si>
    <r>
      <t>y</t>
    </r>
    <r>
      <rPr>
        <i/>
        <vertAlign val="subscript"/>
        <sz val="20"/>
        <color theme="1"/>
        <rFont val="Palatino Linotype"/>
        <family val="1"/>
      </rPr>
      <t>ls</t>
    </r>
  </si>
  <si>
    <r>
      <t>y</t>
    </r>
    <r>
      <rPr>
        <vertAlign val="subscript"/>
        <sz val="10"/>
        <color theme="1"/>
        <rFont val="Arial"/>
        <family val="2"/>
      </rPr>
      <t>GD</t>
    </r>
  </si>
  <si>
    <t>early stopping when w0 and w1 are not changing is useful when we have a propper programming language</t>
  </si>
  <si>
    <r>
      <t>w</t>
    </r>
    <r>
      <rPr>
        <b/>
        <vertAlign val="subscript"/>
        <sz val="18"/>
        <color theme="1"/>
        <rFont val="Palatino Linotype"/>
        <family val="1"/>
      </rPr>
      <t>Data</t>
    </r>
  </si>
  <si>
    <t>Noise</t>
  </si>
  <si>
    <r>
      <t>J</t>
    </r>
    <r>
      <rPr>
        <i/>
        <vertAlign val="subscript"/>
        <sz val="20"/>
        <color theme="1"/>
        <rFont val="Palatino Linotype"/>
        <family val="1"/>
      </rPr>
      <t>n,ls</t>
    </r>
  </si>
  <si>
    <r>
      <t>J</t>
    </r>
    <r>
      <rPr>
        <i/>
        <vertAlign val="superscript"/>
        <sz val="20"/>
        <color theme="1"/>
        <rFont val="Palatino Linotype"/>
        <family val="1"/>
      </rPr>
      <t>2</t>
    </r>
    <r>
      <rPr>
        <i/>
        <vertAlign val="subscript"/>
        <sz val="20"/>
        <color theme="1"/>
        <rFont val="Palatino Linotype"/>
        <family val="1"/>
      </rPr>
      <t>n,ls</t>
    </r>
  </si>
  <si>
    <r>
      <t>w</t>
    </r>
    <r>
      <rPr>
        <i/>
        <vertAlign val="subscript"/>
        <sz val="14"/>
        <color theme="1"/>
        <rFont val="Lucida Bright"/>
        <family val="1"/>
      </rPr>
      <t>1</t>
    </r>
    <r>
      <rPr>
        <i/>
        <sz val="14"/>
        <color theme="1"/>
        <rFont val="Lucida Bright"/>
        <family val="1"/>
      </rPr>
      <t>\w</t>
    </r>
    <r>
      <rPr>
        <i/>
        <vertAlign val="subscript"/>
        <sz val="14"/>
        <color theme="1"/>
        <rFont val="Lucida Bright"/>
        <family val="1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</si>
</sst>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22"/>
      <color theme="1"/>
      <name val="Palatino Linotype"/>
      <family val="1"/>
    </font>
    <font>
      <sz val="20"/>
      <color theme="1"/>
      <name val="Palatino Linotype"/>
      <family val="1"/>
    </font>
    <font>
      <i/>
      <sz val="20"/>
      <color theme="1"/>
      <name val="Palatino Linotype"/>
      <family val="1"/>
    </font>
    <font>
      <vertAlign val="subscript"/>
      <sz val="20"/>
      <color theme="1"/>
      <name val="Palatino Linotype"/>
      <family val="1"/>
    </font>
    <font>
      <sz val="11"/>
      <color rgb="FF000000"/>
      <name val="Calibri"/>
      <family val="2"/>
    </font>
    <font>
      <b/>
      <vertAlign val="superscript"/>
      <sz val="22"/>
      <color theme="1"/>
      <name val="Palatino Linotype"/>
      <family val="1"/>
    </font>
    <font>
      <b/>
      <sz val="20"/>
      <color theme="1"/>
      <name val="Palatino Linotype"/>
      <family val="1"/>
    </font>
    <font>
      <sz val="22"/>
      <color theme="1"/>
      <name val="Palatino Linotype"/>
      <family val="1"/>
    </font>
    <font>
      <vertAlign val="superscript"/>
      <sz val="22"/>
      <color theme="1"/>
      <name val="Palatino Linotype"/>
      <family val="1"/>
    </font>
    <font>
      <vertAlign val="superscript"/>
      <sz val="20"/>
      <color theme="1"/>
      <name val="Palatino Linotype"/>
      <family val="1"/>
    </font>
    <font>
      <sz val="15"/>
      <color theme="1"/>
      <name val="Palatino Linotype"/>
      <family val="1"/>
    </font>
    <font>
      <i/>
      <vertAlign val="subscript"/>
      <sz val="20"/>
      <color theme="1"/>
      <name val="Palatino Linotype"/>
      <family val="1"/>
    </font>
    <font>
      <b/>
      <vertAlign val="subscript"/>
      <sz val="16"/>
      <color theme="1"/>
      <name val="Palatino Linotype"/>
      <family val="1"/>
    </font>
    <font>
      <b/>
      <sz val="14"/>
      <color theme="1"/>
      <name val="Palatino Linotype"/>
      <family val="1"/>
    </font>
    <font>
      <b/>
      <sz val="24"/>
      <color theme="1"/>
      <name val="Palatino Linotype"/>
      <family val="1"/>
    </font>
    <font>
      <vertAlign val="subscript"/>
      <sz val="22"/>
      <color theme="1"/>
      <name val="Palatino Linotype"/>
      <family val="1"/>
    </font>
    <font>
      <b/>
      <u/>
      <sz val="24"/>
      <color theme="1"/>
      <name val="Perpetua"/>
      <family val="1"/>
    </font>
    <font>
      <vertAlign val="subscript"/>
      <sz val="10"/>
      <color theme="1"/>
      <name val="Arial"/>
      <family val="2"/>
    </font>
    <font>
      <b/>
      <sz val="18"/>
      <color theme="1"/>
      <name val="Palatino Linotype"/>
      <family val="1"/>
    </font>
    <font>
      <b/>
      <vertAlign val="subscript"/>
      <sz val="18"/>
      <color theme="1"/>
      <name val="Palatino Linotype"/>
      <family val="1"/>
    </font>
    <font>
      <b/>
      <sz val="18"/>
      <color theme="8" tint="-0.249977111117893"/>
      <name val="Arial"/>
      <family val="2"/>
    </font>
    <font>
      <i/>
      <vertAlign val="superscript"/>
      <sz val="20"/>
      <color theme="1"/>
      <name val="Palatino Linotype"/>
      <family val="1"/>
    </font>
    <font>
      <i/>
      <sz val="14"/>
      <color theme="1"/>
      <name val="Lucida Bright"/>
      <family val="1"/>
    </font>
    <font>
      <i/>
      <vertAlign val="subscript"/>
      <sz val="14"/>
      <color theme="1"/>
      <name val="Lucida Bright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F9F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3" xfId="0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0" xfId="0" applyNumberFormat="1" applyBorder="1"/>
    <xf numFmtId="2" fontId="0" fillId="0" borderId="14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13" xfId="0" applyNumberFormat="1" applyBorder="1"/>
    <xf numFmtId="2" fontId="3" fillId="0" borderId="0" xfId="0" applyNumberFormat="1" applyFont="1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2" fontId="10" fillId="0" borderId="0" xfId="0" applyNumberFormat="1" applyFont="1" applyBorder="1" applyAlignment="1">
      <alignment horizontal="center" vertical="center"/>
    </xf>
    <xf numFmtId="0" fontId="19" fillId="0" borderId="0" xfId="0" applyFont="1" applyAlignment="1"/>
    <xf numFmtId="2" fontId="0" fillId="0" borderId="2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0" fontId="17" fillId="0" borderId="0" xfId="0" applyFont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164" fontId="23" fillId="0" borderId="0" xfId="0" applyNumberFormat="1" applyFont="1"/>
    <xf numFmtId="2" fontId="0" fillId="4" borderId="6" xfId="0" applyNumberFormat="1" applyFill="1" applyBorder="1" applyAlignment="1">
      <alignment horizontal="center" vertical="center"/>
    </xf>
    <xf numFmtId="0" fontId="23" fillId="0" borderId="0" xfId="0" applyFont="1" applyBorder="1" applyAlignment="1">
      <alignment horizontal="center"/>
    </xf>
    <xf numFmtId="2" fontId="0" fillId="4" borderId="9" xfId="0" applyNumberFormat="1" applyFill="1" applyBorder="1" applyAlignment="1">
      <alignment horizontal="center" vertical="center"/>
    </xf>
    <xf numFmtId="2" fontId="0" fillId="0" borderId="19" xfId="0" applyNumberFormat="1" applyBorder="1"/>
    <xf numFmtId="2" fontId="0" fillId="0" borderId="25" xfId="0" applyNumberFormat="1" applyBorder="1"/>
    <xf numFmtId="0" fontId="5" fillId="0" borderId="23" xfId="0" applyFont="1" applyBorder="1" applyAlignment="1">
      <alignment horizontal="center"/>
    </xf>
    <xf numFmtId="0" fontId="0" fillId="0" borderId="0" xfId="0" applyProtection="1">
      <protection locked="0"/>
    </xf>
    <xf numFmtId="2" fontId="0" fillId="0" borderId="15" xfId="0" applyNumberFormat="1" applyFont="1" applyBorder="1" applyAlignment="1" applyProtection="1">
      <alignment horizontal="center"/>
      <protection locked="0"/>
    </xf>
    <xf numFmtId="0" fontId="21" fillId="0" borderId="0" xfId="0" applyFont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2" fontId="0" fillId="0" borderId="20" xfId="0" applyNumberFormat="1" applyBorder="1" applyAlignment="1" applyProtection="1">
      <alignment horizontal="center"/>
      <protection locked="0"/>
    </xf>
    <xf numFmtId="2" fontId="0" fillId="0" borderId="15" xfId="0" applyNumberFormat="1" applyBorder="1" applyAlignment="1" applyProtection="1">
      <alignment horizontal="center"/>
      <protection locked="0"/>
    </xf>
    <xf numFmtId="2" fontId="0" fillId="0" borderId="17" xfId="0" applyNumberFormat="1" applyBorder="1" applyAlignment="1" applyProtection="1">
      <alignment horizontal="center" vertical="center"/>
      <protection locked="0"/>
    </xf>
    <xf numFmtId="2" fontId="0" fillId="0" borderId="21" xfId="0" applyNumberFormat="1" applyBorder="1" applyAlignment="1" applyProtection="1">
      <alignment horizontal="center" vertical="center"/>
      <protection locked="0"/>
    </xf>
    <xf numFmtId="2" fontId="0" fillId="0" borderId="27" xfId="0" applyNumberFormat="1" applyBorder="1" applyAlignment="1" applyProtection="1">
      <alignment horizontal="center" vertical="center"/>
      <protection locked="0"/>
    </xf>
    <xf numFmtId="2" fontId="0" fillId="0" borderId="23" xfId="0" applyNumberFormat="1" applyBorder="1" applyAlignment="1" applyProtection="1">
      <alignment horizontal="center" vertical="center"/>
      <protection locked="0"/>
    </xf>
    <xf numFmtId="2" fontId="0" fillId="0" borderId="24" xfId="0" applyNumberFormat="1" applyBorder="1" applyAlignment="1" applyProtection="1">
      <alignment horizontal="center" vertical="center"/>
      <protection locked="0"/>
    </xf>
    <xf numFmtId="2" fontId="0" fillId="0" borderId="28" xfId="0" applyNumberFormat="1" applyBorder="1" applyAlignment="1" applyProtection="1">
      <alignment horizontal="center" vertical="center"/>
      <protection locked="0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21" fillId="0" borderId="15" xfId="0" applyFont="1" applyBorder="1" applyAlignment="1" applyProtection="1">
      <alignment horizontal="center" vertical="center"/>
      <protection locked="0"/>
    </xf>
    <xf numFmtId="4" fontId="0" fillId="0" borderId="0" xfId="0" applyNumberFormat="1"/>
    <xf numFmtId="0" fontId="5" fillId="0" borderId="2" xfId="0" applyFont="1" applyFill="1" applyBorder="1" applyAlignment="1">
      <alignment horizontal="center" vertical="center"/>
    </xf>
    <xf numFmtId="4" fontId="0" fillId="0" borderId="14" xfId="0" applyNumberFormat="1" applyBorder="1"/>
    <xf numFmtId="4" fontId="0" fillId="0" borderId="13" xfId="0" applyNumberFormat="1" applyBorder="1"/>
    <xf numFmtId="0" fontId="25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8505449131258"/>
          <c:y val="3.934263740194037E-2"/>
          <c:w val="0.83933267752102947"/>
          <c:h val="0.67939099308206641"/>
        </c:manualLayout>
      </c:layout>
      <c:scatterChart>
        <c:scatterStyle val="lineMarker"/>
        <c:varyColors val="0"/>
        <c:ser>
          <c:idx val="0"/>
          <c:order val="0"/>
          <c:tx>
            <c:v>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LR!$F$8:$F$17</c:f>
              <c:numCache>
                <c:formatCode>General</c:formatCode>
                <c:ptCount val="10"/>
                <c:pt idx="0">
                  <c:v>2</c:v>
                </c:pt>
                <c:pt idx="1">
                  <c:v>2.4</c:v>
                </c:pt>
                <c:pt idx="2">
                  <c:v>5.3</c:v>
                </c:pt>
                <c:pt idx="3">
                  <c:v>6.1</c:v>
                </c:pt>
                <c:pt idx="4">
                  <c:v>3.2</c:v>
                </c:pt>
                <c:pt idx="5">
                  <c:v>4.2</c:v>
                </c:pt>
                <c:pt idx="6">
                  <c:v>8.5</c:v>
                </c:pt>
                <c:pt idx="7">
                  <c:v>7.8</c:v>
                </c:pt>
                <c:pt idx="8">
                  <c:v>8.67</c:v>
                </c:pt>
                <c:pt idx="9">
                  <c:v>9.52</c:v>
                </c:pt>
              </c:numCache>
            </c:numRef>
          </c:xVal>
          <c:yVal>
            <c:numRef>
              <c:f>LR!$G$8:$G$17</c:f>
              <c:numCache>
                <c:formatCode>0.00</c:formatCode>
                <c:ptCount val="10"/>
                <c:pt idx="0">
                  <c:v>17.749803032167172</c:v>
                </c:pt>
                <c:pt idx="1">
                  <c:v>22.266991626091059</c:v>
                </c:pt>
                <c:pt idx="2">
                  <c:v>37.27901680351534</c:v>
                </c:pt>
                <c:pt idx="3">
                  <c:v>39.302351853351773</c:v>
                </c:pt>
                <c:pt idx="4">
                  <c:v>27.839936189803655</c:v>
                </c:pt>
                <c:pt idx="5">
                  <c:v>24.581919025410947</c:v>
                </c:pt>
                <c:pt idx="6">
                  <c:v>45.73437626983501</c:v>
                </c:pt>
                <c:pt idx="7">
                  <c:v>46.834418301694633</c:v>
                </c:pt>
                <c:pt idx="8">
                  <c:v>55.312923419236625</c:v>
                </c:pt>
                <c:pt idx="9">
                  <c:v>54.972059619009997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D-4B7F-8BD3-31DC6A4F0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620096"/>
        <c:axId val="6856174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y_ls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LR!$F$8:$F$17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</c:v>
                      </c:pt>
                      <c:pt idx="1">
                        <c:v>2.4</c:v>
                      </c:pt>
                      <c:pt idx="2">
                        <c:v>5.3</c:v>
                      </c:pt>
                      <c:pt idx="3">
                        <c:v>6.1</c:v>
                      </c:pt>
                      <c:pt idx="4">
                        <c:v>3.2</c:v>
                      </c:pt>
                      <c:pt idx="5">
                        <c:v>4.2</c:v>
                      </c:pt>
                      <c:pt idx="6">
                        <c:v>8.5</c:v>
                      </c:pt>
                      <c:pt idx="7">
                        <c:v>7.8</c:v>
                      </c:pt>
                      <c:pt idx="8">
                        <c:v>8.67</c:v>
                      </c:pt>
                      <c:pt idx="9">
                        <c:v>9.52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LR!$H$8:$H$17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19.154730563644883</c:v>
                      </c:pt>
                      <c:pt idx="1">
                        <c:v>21.068516613033765</c:v>
                      </c:pt>
                      <c:pt idx="2">
                        <c:v>34.94346547110316</c:v>
                      </c:pt>
                      <c:pt idx="3">
                        <c:v>38.771037569880924</c:v>
                      </c:pt>
                      <c:pt idx="4">
                        <c:v>24.896088711811529</c:v>
                      </c:pt>
                      <c:pt idx="5">
                        <c:v>29.680553835283735</c:v>
                      </c:pt>
                      <c:pt idx="6">
                        <c:v>50.253753866214218</c:v>
                      </c:pt>
                      <c:pt idx="7">
                        <c:v>46.904628279783672</c:v>
                      </c:pt>
                      <c:pt idx="8">
                        <c:v>51.067112937204492</c:v>
                      </c:pt>
                      <c:pt idx="9">
                        <c:v>55.133908292155866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C6BD-4B7F-8BD3-31DC6A4F03B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y_GD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LR!$F$8:$F$17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</c:v>
                      </c:pt>
                      <c:pt idx="1">
                        <c:v>2.4</c:v>
                      </c:pt>
                      <c:pt idx="2">
                        <c:v>5.3</c:v>
                      </c:pt>
                      <c:pt idx="3">
                        <c:v>6.1</c:v>
                      </c:pt>
                      <c:pt idx="4">
                        <c:v>3.2</c:v>
                      </c:pt>
                      <c:pt idx="5">
                        <c:v>4.2</c:v>
                      </c:pt>
                      <c:pt idx="6">
                        <c:v>8.5</c:v>
                      </c:pt>
                      <c:pt idx="7">
                        <c:v>7.8</c:v>
                      </c:pt>
                      <c:pt idx="8">
                        <c:v>8.67</c:v>
                      </c:pt>
                      <c:pt idx="9">
                        <c:v>9.52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LR!$I$8:$I$17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16.693163642705358</c:v>
                      </c:pt>
                      <c:pt idx="1">
                        <c:v>18.80620423365739</c:v>
                      </c:pt>
                      <c:pt idx="2">
                        <c:v>34.125748518059602</c:v>
                      </c:pt>
                      <c:pt idx="3">
                        <c:v>38.351829699963659</c:v>
                      </c:pt>
                      <c:pt idx="4">
                        <c:v>23.03228541556145</c:v>
                      </c:pt>
                      <c:pt idx="5">
                        <c:v>28.314886892941523</c:v>
                      </c:pt>
                      <c:pt idx="6">
                        <c:v>51.030073245675837</c:v>
                      </c:pt>
                      <c:pt idx="7">
                        <c:v>47.33225221150979</c:v>
                      </c:pt>
                      <c:pt idx="8">
                        <c:v>51.928115496830451</c:v>
                      </c:pt>
                      <c:pt idx="9">
                        <c:v>56.418326752603512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C6BD-4B7F-8BD3-31DC6A4F03BD}"/>
                  </c:ext>
                </c:extLst>
              </c15:ser>
            </c15:filteredScatterSeries>
          </c:ext>
        </c:extLst>
      </c:scatterChart>
      <c:valAx>
        <c:axId val="68562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GB" sz="2400" i="1">
                    <a:latin typeface="Palatino Linotype" panose="02040502050505030304" pitchFamily="18" charset="0"/>
                  </a:rPr>
                  <a:t>x</a:t>
                </a:r>
                <a:r>
                  <a:rPr lang="en-GB" sz="2400" i="1" baseline="-25000">
                    <a:latin typeface="Palatino Linotype" panose="02040502050505030304" pitchFamily="18" charset="0"/>
                  </a:rPr>
                  <a:t>1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617472"/>
        <c:crosses val="autoZero"/>
        <c:crossBetween val="midCat"/>
      </c:valAx>
      <c:valAx>
        <c:axId val="685617472"/>
        <c:scaling>
          <c:orientation val="minMax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GB" sz="2800" b="0" i="1">
                    <a:latin typeface="Palatino Linotype" panose="02040502050505030304" pitchFamily="18" charset="0"/>
                  </a:rPr>
                  <a:t>t</a:t>
                </a:r>
              </a:p>
            </c:rich>
          </c:tx>
          <c:layout>
            <c:manualLayout>
              <c:xMode val="edge"/>
              <c:yMode val="edge"/>
              <c:x val="0"/>
              <c:y val="0.29088256017780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620096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38875</xdr:colOff>
      <xdr:row>5</xdr:row>
      <xdr:rowOff>305500</xdr:rowOff>
    </xdr:from>
    <xdr:to>
      <xdr:col>19</xdr:col>
      <xdr:colOff>476251</xdr:colOff>
      <xdr:row>19</xdr:row>
      <xdr:rowOff>93910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Y199"/>
  <sheetViews>
    <sheetView showGridLines="0" tabSelected="1" topLeftCell="A5" zoomScale="55" zoomScaleNormal="55" workbookViewId="0">
      <selection activeCell="AB9" sqref="AB9"/>
    </sheetView>
  </sheetViews>
  <sheetFormatPr defaultRowHeight="12.75" x14ac:dyDescent="0.2"/>
  <cols>
    <col min="1" max="1" width="9.5703125" customWidth="1"/>
    <col min="8" max="8" width="13.140625" customWidth="1"/>
    <col min="9" max="9" width="13.42578125" bestFit="1" customWidth="1"/>
    <col min="11" max="11" width="10" customWidth="1"/>
  </cols>
  <sheetData>
    <row r="3" spans="1:51" ht="32.25" x14ac:dyDescent="0.55000000000000004">
      <c r="J3" s="44" t="s">
        <v>5</v>
      </c>
    </row>
    <row r="5" spans="1:51" ht="18" x14ac:dyDescent="0.25">
      <c r="F5" s="1" t="s">
        <v>0</v>
      </c>
    </row>
    <row r="6" spans="1:51" ht="31.5" thickBot="1" x14ac:dyDescent="0.6">
      <c r="E6" s="2" t="s">
        <v>1</v>
      </c>
      <c r="F6" s="2"/>
      <c r="G6" s="3" t="s">
        <v>2</v>
      </c>
      <c r="J6" s="35"/>
    </row>
    <row r="7" spans="1:51" ht="33" thickBot="1" x14ac:dyDescent="0.6">
      <c r="A7" s="51" t="s">
        <v>23</v>
      </c>
      <c r="B7" s="38" t="s">
        <v>14</v>
      </c>
      <c r="C7" s="62">
        <v>3</v>
      </c>
      <c r="E7" s="4" t="s">
        <v>3</v>
      </c>
      <c r="F7" s="5" t="s">
        <v>4</v>
      </c>
      <c r="G7" s="6" t="s">
        <v>2</v>
      </c>
      <c r="H7" s="6" t="s">
        <v>20</v>
      </c>
      <c r="I7" s="6" t="s">
        <v>21</v>
      </c>
      <c r="J7" s="78" t="s">
        <v>25</v>
      </c>
      <c r="K7" s="78" t="s">
        <v>26</v>
      </c>
      <c r="L7" s="78" t="s">
        <v>25</v>
      </c>
      <c r="M7" s="78" t="s">
        <v>26</v>
      </c>
    </row>
    <row r="8" spans="1:51" ht="18.75" customHeight="1" thickBot="1" x14ac:dyDescent="0.6">
      <c r="A8" s="17"/>
      <c r="B8" s="38" t="s">
        <v>15</v>
      </c>
      <c r="C8" s="62">
        <v>5</v>
      </c>
      <c r="D8">
        <v>1</v>
      </c>
      <c r="E8" s="7">
        <v>1</v>
      </c>
      <c r="F8" s="64">
        <v>2</v>
      </c>
      <c r="G8" s="52">
        <f ca="1">(w_d0+w_d1*F8+noise*RAND())</f>
        <v>17.749803032167172</v>
      </c>
      <c r="H8" s="55">
        <f t="array" aca="1" ref="H8:H17" ca="1">MMULT(X,F32:F33)</f>
        <v>19.154730563644883</v>
      </c>
      <c r="I8" s="55">
        <f t="array" aca="1" ref="I8:I17" ca="1">MMULT(X,w_GD)</f>
        <v>16.693163642705358</v>
      </c>
      <c r="J8" s="27">
        <f t="array" aca="1" ref="J8:J17" ca="1">t-y_ls</f>
        <v>-1.4049275314777105</v>
      </c>
      <c r="K8" s="79">
        <f t="array" aca="1" ref="K8:K17" ca="1">(t-y_ls)^2</f>
        <v>1.9738213687040533</v>
      </c>
      <c r="L8" s="27">
        <f ca="1">$G8-J8</f>
        <v>19.154730563644883</v>
      </c>
      <c r="M8" s="79">
        <f ca="1">L8^2</f>
        <v>366.90370296583143</v>
      </c>
      <c r="AA8" s="81" t="s">
        <v>27</v>
      </c>
      <c r="AB8" s="82">
        <f>w_d0-4</f>
        <v>-1</v>
      </c>
      <c r="AC8" s="82">
        <f>AB8+0.1</f>
        <v>-0.9</v>
      </c>
      <c r="AD8" s="82">
        <f t="shared" ref="AD8:AY8" si="0">AC8+0.1</f>
        <v>-0.8</v>
      </c>
      <c r="AE8" s="82">
        <f t="shared" si="0"/>
        <v>-0.70000000000000007</v>
      </c>
      <c r="AF8" s="82">
        <f t="shared" si="0"/>
        <v>-0.60000000000000009</v>
      </c>
      <c r="AG8" s="82">
        <f t="shared" si="0"/>
        <v>-0.50000000000000011</v>
      </c>
      <c r="AH8" s="82">
        <f t="shared" si="0"/>
        <v>-0.40000000000000013</v>
      </c>
      <c r="AI8" s="82">
        <f t="shared" si="0"/>
        <v>-0.30000000000000016</v>
      </c>
      <c r="AJ8" s="82">
        <f t="shared" si="0"/>
        <v>-0.20000000000000015</v>
      </c>
      <c r="AK8" s="82">
        <f t="shared" si="0"/>
        <v>-0.10000000000000014</v>
      </c>
      <c r="AL8" s="82">
        <f t="shared" si="0"/>
        <v>-1.3877787807814457E-16</v>
      </c>
      <c r="AM8" s="82">
        <f t="shared" si="0"/>
        <v>9.9999999999999867E-2</v>
      </c>
      <c r="AN8" s="82">
        <f t="shared" si="0"/>
        <v>0.19999999999999987</v>
      </c>
      <c r="AO8" s="82">
        <f t="shared" si="0"/>
        <v>0.29999999999999988</v>
      </c>
      <c r="AP8" s="82">
        <f t="shared" si="0"/>
        <v>0.39999999999999991</v>
      </c>
      <c r="AQ8" s="82">
        <f t="shared" si="0"/>
        <v>0.49999999999999989</v>
      </c>
      <c r="AR8" s="82">
        <f t="shared" si="0"/>
        <v>0.59999999999999987</v>
      </c>
      <c r="AS8" s="82">
        <f t="shared" si="0"/>
        <v>0.69999999999999984</v>
      </c>
      <c r="AT8" s="82">
        <f t="shared" si="0"/>
        <v>0.79999999999999982</v>
      </c>
      <c r="AU8" s="82">
        <f t="shared" si="0"/>
        <v>0.8999999999999998</v>
      </c>
      <c r="AV8" s="82">
        <f t="shared" si="0"/>
        <v>0.99999999999999978</v>
      </c>
      <c r="AW8" s="82">
        <f t="shared" si="0"/>
        <v>1.0999999999999999</v>
      </c>
      <c r="AX8" s="82">
        <f t="shared" si="0"/>
        <v>1.2</v>
      </c>
      <c r="AY8" s="82">
        <f t="shared" si="0"/>
        <v>1.3</v>
      </c>
    </row>
    <row r="9" spans="1:51" ht="15.75" thickBot="1" x14ac:dyDescent="0.25">
      <c r="D9">
        <v>2</v>
      </c>
      <c r="E9" s="7">
        <v>1</v>
      </c>
      <c r="F9" s="64">
        <v>2.4</v>
      </c>
      <c r="G9" s="52">
        <f ca="1">(w_d0+w_d1*F9+noise*RAND())</f>
        <v>22.266991626091059</v>
      </c>
      <c r="H9" s="55">
        <f ca="1"/>
        <v>21.068516613033765</v>
      </c>
      <c r="I9" s="55">
        <f ca="1"/>
        <v>18.80620423365739</v>
      </c>
      <c r="J9" s="27">
        <f ca="1"/>
        <v>1.1984750130572941</v>
      </c>
      <c r="K9" s="79">
        <f ca="1"/>
        <v>1.4363423569226812</v>
      </c>
      <c r="L9" s="27">
        <f t="shared" ref="L9:L17" ca="1" si="1">$G9-J9</f>
        <v>21.068516613033765</v>
      </c>
      <c r="M9" s="79">
        <f t="shared" ref="M9" ca="1" si="2">L9^2</f>
        <v>443.88239227367973</v>
      </c>
      <c r="AA9" s="83">
        <f>w_d1-2</f>
        <v>3</v>
      </c>
    </row>
    <row r="10" spans="1:51" ht="15.75" customHeight="1" thickBot="1" x14ac:dyDescent="0.25">
      <c r="A10" s="74" t="s">
        <v>24</v>
      </c>
      <c r="B10" s="76">
        <v>10</v>
      </c>
      <c r="D10">
        <v>3</v>
      </c>
      <c r="E10" s="7">
        <v>1</v>
      </c>
      <c r="F10" s="64">
        <v>5.3</v>
      </c>
      <c r="G10" s="52">
        <f ca="1">(w_d0+w_d1*F10+noise*RAND())</f>
        <v>37.27901680351534</v>
      </c>
      <c r="H10" s="55">
        <f ca="1"/>
        <v>34.94346547110316</v>
      </c>
      <c r="I10" s="55">
        <f ca="1"/>
        <v>34.125748518059602</v>
      </c>
      <c r="J10" s="27">
        <f ca="1"/>
        <v>2.3355513324121802</v>
      </c>
      <c r="K10" s="79">
        <f ca="1"/>
        <v>5.4548000263323102</v>
      </c>
      <c r="L10" s="27">
        <f t="shared" ca="1" si="1"/>
        <v>34.94346547110316</v>
      </c>
      <c r="M10" s="79">
        <f t="shared" ref="M10" ca="1" si="3">L10^2</f>
        <v>1221.0457791301787</v>
      </c>
      <c r="AA10" s="84">
        <f>AA9+0.1</f>
        <v>3.1</v>
      </c>
    </row>
    <row r="11" spans="1:51" ht="15.75" customHeight="1" thickBot="1" x14ac:dyDescent="0.25">
      <c r="A11" s="74"/>
      <c r="B11" s="76"/>
      <c r="D11">
        <v>4</v>
      </c>
      <c r="E11" s="7">
        <v>1</v>
      </c>
      <c r="F11" s="64">
        <v>6.1</v>
      </c>
      <c r="G11" s="52">
        <f ca="1">(w_d0+w_d1*F11+noise*RAND())</f>
        <v>39.302351853351773</v>
      </c>
      <c r="H11" s="55">
        <f ca="1"/>
        <v>38.771037569880924</v>
      </c>
      <c r="I11" s="55">
        <f ca="1"/>
        <v>38.351829699963659</v>
      </c>
      <c r="J11" s="27">
        <f ca="1"/>
        <v>0.53131428347084864</v>
      </c>
      <c r="K11" s="79">
        <f ca="1"/>
        <v>0.28229486782014129</v>
      </c>
      <c r="L11" s="27">
        <f t="shared" ca="1" si="1"/>
        <v>38.771037569880924</v>
      </c>
      <c r="M11" s="79">
        <f t="shared" ref="M11" ca="1" si="4">L11^2</f>
        <v>1503.1933542451181</v>
      </c>
      <c r="AA11" s="84">
        <f t="shared" ref="AA11:AA32" si="5">AA10+0.1</f>
        <v>3.2</v>
      </c>
    </row>
    <row r="12" spans="1:51" ht="15.75" customHeight="1" thickBot="1" x14ac:dyDescent="0.25">
      <c r="A12" s="75"/>
      <c r="B12" s="63"/>
      <c r="D12">
        <v>5</v>
      </c>
      <c r="E12" s="7">
        <v>1</v>
      </c>
      <c r="F12" s="64">
        <v>3.2</v>
      </c>
      <c r="G12" s="52">
        <f ca="1">(w_d0+w_d1*F12+noise*RAND())</f>
        <v>27.839936189803655</v>
      </c>
      <c r="H12" s="55">
        <f ca="1"/>
        <v>24.896088711811529</v>
      </c>
      <c r="I12" s="55">
        <f ca="1"/>
        <v>23.03228541556145</v>
      </c>
      <c r="J12" s="27">
        <f ca="1"/>
        <v>2.9438474779921258</v>
      </c>
      <c r="K12" s="79">
        <f ca="1"/>
        <v>8.6662379736805999</v>
      </c>
      <c r="L12" s="27">
        <f t="shared" ca="1" si="1"/>
        <v>24.896088711811529</v>
      </c>
      <c r="M12" s="79">
        <f t="shared" ref="M12" ca="1" si="6">L12^2</f>
        <v>619.81523314638946</v>
      </c>
      <c r="AA12" s="84">
        <f t="shared" si="5"/>
        <v>3.3000000000000003</v>
      </c>
    </row>
    <row r="13" spans="1:51" ht="15.75" customHeight="1" thickBot="1" x14ac:dyDescent="0.25">
      <c r="A13" s="75"/>
      <c r="B13" s="63"/>
      <c r="D13">
        <v>6</v>
      </c>
      <c r="E13" s="7">
        <v>1</v>
      </c>
      <c r="F13" s="64">
        <v>4.2</v>
      </c>
      <c r="G13" s="52">
        <f ca="1">(w_d0+w_d1*F13+noise*RAND())</f>
        <v>24.581919025410947</v>
      </c>
      <c r="H13" s="55">
        <f ca="1"/>
        <v>29.680553835283735</v>
      </c>
      <c r="I13" s="55">
        <f ca="1"/>
        <v>28.314886892941523</v>
      </c>
      <c r="J13" s="27">
        <f ca="1"/>
        <v>-5.0986348098727881</v>
      </c>
      <c r="K13" s="79">
        <f ca="1"/>
        <v>25.996076924446523</v>
      </c>
      <c r="L13" s="27">
        <f t="shared" ca="1" si="1"/>
        <v>29.680553835283735</v>
      </c>
      <c r="M13" s="79">
        <f t="shared" ref="M13" ca="1" si="7">L13^2</f>
        <v>880.93527596917602</v>
      </c>
      <c r="AA13" s="84">
        <f t="shared" si="5"/>
        <v>3.4000000000000004</v>
      </c>
    </row>
    <row r="14" spans="1:51" ht="15.75" thickBot="1" x14ac:dyDescent="0.25">
      <c r="D14">
        <v>7</v>
      </c>
      <c r="E14" s="7">
        <v>1</v>
      </c>
      <c r="F14" s="64">
        <v>8.5</v>
      </c>
      <c r="G14" s="52">
        <f ca="1">(w_d0+w_d1*F14+noise*RAND())</f>
        <v>45.73437626983501</v>
      </c>
      <c r="H14" s="55">
        <f ca="1"/>
        <v>50.253753866214218</v>
      </c>
      <c r="I14" s="55">
        <f ca="1"/>
        <v>51.030073245675837</v>
      </c>
      <c r="J14" s="27">
        <f ca="1"/>
        <v>-4.5193775963792078</v>
      </c>
      <c r="K14" s="79">
        <f ca="1"/>
        <v>20.424773858654305</v>
      </c>
      <c r="L14" s="27">
        <f t="shared" ca="1" si="1"/>
        <v>50.253753866214218</v>
      </c>
      <c r="M14" s="79">
        <f t="shared" ref="M14" ca="1" si="8">L14^2</f>
        <v>2525.4397776460405</v>
      </c>
      <c r="AA14" s="84">
        <f t="shared" si="5"/>
        <v>3.5000000000000004</v>
      </c>
    </row>
    <row r="15" spans="1:51" ht="15.75" thickBot="1" x14ac:dyDescent="0.25">
      <c r="D15">
        <v>8</v>
      </c>
      <c r="E15" s="7">
        <v>1</v>
      </c>
      <c r="F15" s="64">
        <v>7.8</v>
      </c>
      <c r="G15" s="52">
        <f ca="1">(w_d0+w_d1*F15+noise*RAND())</f>
        <v>46.834418301694633</v>
      </c>
      <c r="H15" s="55">
        <f ca="1"/>
        <v>46.904628279783672</v>
      </c>
      <c r="I15" s="55">
        <f ca="1"/>
        <v>47.33225221150979</v>
      </c>
      <c r="J15" s="27">
        <f ca="1"/>
        <v>-7.0209978089039282E-2</v>
      </c>
      <c r="K15" s="79">
        <f ca="1"/>
        <v>4.9294410232633762E-3</v>
      </c>
      <c r="L15" s="27">
        <f t="shared" ca="1" si="1"/>
        <v>46.904628279783672</v>
      </c>
      <c r="M15" s="79">
        <f t="shared" ref="M15" ca="1" si="9">L15^2</f>
        <v>2200.0441540646821</v>
      </c>
      <c r="AA15" s="84">
        <f t="shared" si="5"/>
        <v>3.6000000000000005</v>
      </c>
    </row>
    <row r="16" spans="1:51" ht="15.75" thickBot="1" x14ac:dyDescent="0.25">
      <c r="D16">
        <v>9</v>
      </c>
      <c r="E16" s="7">
        <v>1</v>
      </c>
      <c r="F16" s="64">
        <v>8.67</v>
      </c>
      <c r="G16" s="52">
        <f ca="1">(w_d0+w_d1*F16+noise*RAND())</f>
        <v>55.312923419236625</v>
      </c>
      <c r="H16" s="55">
        <f ca="1"/>
        <v>51.067112937204492</v>
      </c>
      <c r="I16" s="55">
        <f ca="1"/>
        <v>51.928115496830451</v>
      </c>
      <c r="J16" s="27">
        <f ca="1"/>
        <v>4.2458104820321338</v>
      </c>
      <c r="K16" s="79">
        <f ca="1"/>
        <v>18.026906649333942</v>
      </c>
      <c r="L16" s="27">
        <f t="shared" ca="1" si="1"/>
        <v>51.067112937204492</v>
      </c>
      <c r="M16" s="79">
        <f t="shared" ref="M16" ca="1" si="10">L16^2</f>
        <v>2607.8500237411986</v>
      </c>
      <c r="AA16" s="84">
        <f t="shared" si="5"/>
        <v>3.7000000000000006</v>
      </c>
    </row>
    <row r="17" spans="2:27" ht="15.75" thickBot="1" x14ac:dyDescent="0.25">
      <c r="D17">
        <v>10</v>
      </c>
      <c r="E17" s="8">
        <v>1</v>
      </c>
      <c r="F17" s="65">
        <v>9.52</v>
      </c>
      <c r="G17" s="53">
        <f ca="1">(w_d0+w_d1*F17+noise*RAND())</f>
        <v>54.972059619009997</v>
      </c>
      <c r="H17" s="57">
        <f ca="1"/>
        <v>55.133908292155866</v>
      </c>
      <c r="I17" s="57">
        <f ca="1"/>
        <v>56.418326752603512</v>
      </c>
      <c r="J17" s="27">
        <f ca="1"/>
        <v>-0.16184867314586882</v>
      </c>
      <c r="K17" s="80">
        <f ca="1"/>
        <v>2.6194992999078279E-2</v>
      </c>
      <c r="L17" s="27">
        <f t="shared" ca="1" si="1"/>
        <v>55.133908292155866</v>
      </c>
      <c r="M17" s="80">
        <f t="shared" ref="M17" ca="1" si="11">L17^2</f>
        <v>3039.7478435678531</v>
      </c>
      <c r="AA17" s="84">
        <f t="shared" si="5"/>
        <v>3.8000000000000007</v>
      </c>
    </row>
    <row r="18" spans="2:27" ht="23.25" x14ac:dyDescent="0.35">
      <c r="E18" s="56" t="s">
        <v>13</v>
      </c>
      <c r="F18" s="56"/>
      <c r="G18" s="56"/>
      <c r="H18" s="54">
        <f ca="1">SUMPRODUCT((t-y_ls)^2,x0)/(2*N)</f>
        <v>4.1146189229958452</v>
      </c>
      <c r="I18" s="54">
        <f ca="1">SUMPRODUCT((t-y_GD)^2,x0)/(2*N)</f>
        <v>5.1414771420604</v>
      </c>
      <c r="K18" s="77">
        <f ca="1">AVERAGE(K8:K17)/2</f>
        <v>4.1146189229958452</v>
      </c>
      <c r="AA18" s="84">
        <f t="shared" si="5"/>
        <v>3.9000000000000008</v>
      </c>
    </row>
    <row r="19" spans="2:27" x14ac:dyDescent="0.2">
      <c r="G19" s="49"/>
      <c r="H19" s="50"/>
      <c r="I19" s="50"/>
      <c r="AA19" s="84">
        <f t="shared" si="5"/>
        <v>4.0000000000000009</v>
      </c>
    </row>
    <row r="20" spans="2:27" ht="20.25" customHeight="1" thickBot="1" x14ac:dyDescent="0.25">
      <c r="AA20" s="84">
        <f t="shared" si="5"/>
        <v>4.1000000000000005</v>
      </c>
    </row>
    <row r="21" spans="2:27" ht="28.5" customHeight="1" x14ac:dyDescent="0.2">
      <c r="E21" s="10" t="s">
        <v>6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2"/>
      <c r="AA21" s="84">
        <f t="shared" si="5"/>
        <v>4.2</v>
      </c>
    </row>
    <row r="22" spans="2:27" ht="13.5" thickBot="1" x14ac:dyDescent="0.25"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5"/>
      <c r="AA22" s="84">
        <f t="shared" si="5"/>
        <v>4.3</v>
      </c>
    </row>
    <row r="23" spans="2:27" ht="13.5" thickBot="1" x14ac:dyDescent="0.25">
      <c r="AA23" s="84">
        <f t="shared" si="5"/>
        <v>4.3999999999999995</v>
      </c>
    </row>
    <row r="24" spans="2:27" x14ac:dyDescent="0.2">
      <c r="D24" s="17" t="s">
        <v>10</v>
      </c>
      <c r="E24" s="33">
        <f t="array" ref="E24:N25">TRANSPOSE(X)</f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23"/>
      <c r="P24" s="23"/>
      <c r="Q24" s="23"/>
      <c r="R24" s="24"/>
      <c r="AA24" s="84">
        <f t="shared" si="5"/>
        <v>4.4999999999999991</v>
      </c>
    </row>
    <row r="25" spans="2:27" x14ac:dyDescent="0.2">
      <c r="D25" s="17"/>
      <c r="E25" s="31">
        <v>2</v>
      </c>
      <c r="F25" s="32">
        <v>2.4</v>
      </c>
      <c r="G25" s="32">
        <v>5.3</v>
      </c>
      <c r="H25" s="32">
        <v>6.1</v>
      </c>
      <c r="I25" s="32">
        <v>3.2</v>
      </c>
      <c r="J25" s="32">
        <v>4.2</v>
      </c>
      <c r="K25" s="32">
        <v>8.5</v>
      </c>
      <c r="L25" s="32">
        <v>7.8</v>
      </c>
      <c r="M25" s="32">
        <v>8.67</v>
      </c>
      <c r="N25" s="32">
        <v>9.52</v>
      </c>
      <c r="O25" s="25"/>
      <c r="P25" s="25"/>
      <c r="Q25" s="25"/>
      <c r="R25" s="26"/>
      <c r="AA25" s="84">
        <f t="shared" si="5"/>
        <v>4.5999999999999988</v>
      </c>
    </row>
    <row r="26" spans="2:27" x14ac:dyDescent="0.2">
      <c r="E26" s="27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6"/>
      <c r="AA26" s="84">
        <f t="shared" si="5"/>
        <v>4.6999999999999984</v>
      </c>
    </row>
    <row r="27" spans="2:27" x14ac:dyDescent="0.2">
      <c r="C27" s="16" t="s">
        <v>9</v>
      </c>
      <c r="D27" s="16"/>
      <c r="E27" s="31">
        <f t="array" ref="E27:F28">MMULT(XT,X)</f>
        <v>10</v>
      </c>
      <c r="F27" s="32">
        <v>57.69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6"/>
      <c r="AA27" s="84">
        <f t="shared" si="5"/>
        <v>4.799999999999998</v>
      </c>
    </row>
    <row r="28" spans="2:27" x14ac:dyDescent="0.2">
      <c r="C28" s="16"/>
      <c r="D28" s="16"/>
      <c r="E28" s="31">
        <v>57.69</v>
      </c>
      <c r="F28" s="32">
        <v>401.82929999999999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6"/>
      <c r="AA28" s="84">
        <f t="shared" si="5"/>
        <v>4.8999999999999977</v>
      </c>
    </row>
    <row r="29" spans="2:27" x14ac:dyDescent="0.2">
      <c r="E29" s="27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6"/>
      <c r="AA29" s="84">
        <f t="shared" si="5"/>
        <v>4.9999999999999973</v>
      </c>
    </row>
    <row r="30" spans="2:27" ht="16.5" customHeight="1" x14ac:dyDescent="0.55000000000000004">
      <c r="B30" s="18" t="s">
        <v>7</v>
      </c>
      <c r="C30" s="18"/>
      <c r="D30" s="18"/>
      <c r="E30" s="31">
        <f t="array" ref="E30:F31">MINVERSE(XTX)</f>
        <v>0.58222891055642523</v>
      </c>
      <c r="F30" s="32">
        <v>-8.3589688083970409E-2</v>
      </c>
      <c r="G30" s="25"/>
      <c r="H30" s="25"/>
      <c r="I30" s="30" t="s">
        <v>11</v>
      </c>
      <c r="J30" s="32">
        <f t="array" aca="1" ref="J30:J31" ca="1">MMULT(XT,t)</f>
        <v>371.87379614011627</v>
      </c>
      <c r="K30" s="58"/>
      <c r="L30" s="17" t="s">
        <v>8</v>
      </c>
      <c r="M30" s="17"/>
      <c r="N30" s="17"/>
      <c r="O30" s="38" t="s">
        <v>14</v>
      </c>
      <c r="P30" s="32">
        <f t="array" aca="1" ref="P30:P31" ca="1">MMULT(XTX1,XTt)</f>
        <v>9.5858003167004711</v>
      </c>
      <c r="Q30" s="25"/>
      <c r="R30" s="26"/>
      <c r="AA30" s="84">
        <f t="shared" si="5"/>
        <v>5.099999999999997</v>
      </c>
    </row>
    <row r="31" spans="2:27" ht="21" customHeight="1" thickBot="1" x14ac:dyDescent="0.6">
      <c r="B31" s="18"/>
      <c r="C31" s="18"/>
      <c r="D31" s="18"/>
      <c r="E31" s="45">
        <v>-8.3589688083970409E-2</v>
      </c>
      <c r="F31" s="46">
        <v>1.4489458846242056E-2</v>
      </c>
      <c r="G31" s="28"/>
      <c r="H31" s="28"/>
      <c r="I31" s="47"/>
      <c r="J31" s="46">
        <f ca="1"/>
        <v>2475.5430917097001</v>
      </c>
      <c r="K31" s="59"/>
      <c r="L31" s="48"/>
      <c r="M31" s="48"/>
      <c r="N31" s="48"/>
      <c r="O31" s="60" t="s">
        <v>15</v>
      </c>
      <c r="P31" s="46">
        <f ca="1"/>
        <v>4.7844651234722058</v>
      </c>
      <c r="Q31" s="28"/>
      <c r="R31" s="29"/>
      <c r="AA31" s="84">
        <f t="shared" si="5"/>
        <v>5.1999999999999966</v>
      </c>
    </row>
    <row r="32" spans="2:27" ht="23.25" customHeight="1" x14ac:dyDescent="0.55000000000000004">
      <c r="D32" s="17" t="s">
        <v>17</v>
      </c>
      <c r="E32" s="41" t="s">
        <v>14</v>
      </c>
      <c r="F32" s="66">
        <f t="array" aca="1" ref="F32:F33" ca="1">MMULT(MINVERSE(MMULT(TRANSPOSE(X),X)), MMULT(TRANSPOSE(X),t))</f>
        <v>9.5858003167004711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AA32" s="84">
        <f t="shared" si="5"/>
        <v>5.2999999999999963</v>
      </c>
    </row>
    <row r="33" spans="3:45" ht="20.25" customHeight="1" x14ac:dyDescent="0.55000000000000004">
      <c r="D33" s="17"/>
      <c r="E33" s="38" t="s">
        <v>15</v>
      </c>
      <c r="F33" s="67">
        <f ca="1"/>
        <v>4.7844651234722058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3:45" ht="13.5" thickBot="1" x14ac:dyDescent="0.25"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3:45" x14ac:dyDescent="0.2">
      <c r="C35" s="43" t="s">
        <v>12</v>
      </c>
      <c r="D35" s="43" t="s">
        <v>18</v>
      </c>
      <c r="E35" s="10" t="s">
        <v>19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9"/>
      <c r="T35" s="19"/>
      <c r="U35" s="19"/>
      <c r="V35" s="19"/>
      <c r="W35" s="19"/>
      <c r="X35" s="19"/>
      <c r="Y35" s="20"/>
    </row>
    <row r="36" spans="3:45" ht="21" customHeight="1" thickBot="1" x14ac:dyDescent="0.25">
      <c r="C36" s="43"/>
      <c r="D36" s="43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21"/>
      <c r="T36" s="21"/>
      <c r="U36" s="21"/>
      <c r="V36" s="21"/>
      <c r="W36" s="21"/>
      <c r="X36" s="21"/>
      <c r="Y36" s="22"/>
      <c r="AJ36" t="s">
        <v>22</v>
      </c>
    </row>
    <row r="37" spans="3:45" ht="12" customHeight="1" thickBot="1" x14ac:dyDescent="0.25">
      <c r="C37" s="61">
        <v>5.0000000000000001E-3</v>
      </c>
      <c r="D37">
        <f>eta/N</f>
        <v>5.0000000000000001E-4</v>
      </c>
      <c r="E37" s="36"/>
      <c r="F37" s="36">
        <v>1</v>
      </c>
      <c r="G37" s="36">
        <v>2</v>
      </c>
      <c r="H37" s="36">
        <v>3</v>
      </c>
      <c r="I37" s="36">
        <v>4</v>
      </c>
      <c r="J37" s="36">
        <v>5</v>
      </c>
      <c r="K37" s="36">
        <v>6</v>
      </c>
      <c r="L37" s="36">
        <v>7</v>
      </c>
      <c r="M37" s="36">
        <v>8</v>
      </c>
      <c r="N37" s="36">
        <v>9</v>
      </c>
      <c r="O37" s="36">
        <v>10</v>
      </c>
      <c r="P37" s="36">
        <v>11</v>
      </c>
      <c r="Q37" s="36">
        <v>12</v>
      </c>
      <c r="R37" s="36">
        <v>13</v>
      </c>
      <c r="S37" s="36">
        <v>14</v>
      </c>
      <c r="T37" s="36">
        <v>15</v>
      </c>
      <c r="U37" s="36">
        <v>16</v>
      </c>
      <c r="V37" s="36">
        <v>17</v>
      </c>
      <c r="W37" s="36">
        <v>18</v>
      </c>
      <c r="X37" s="36">
        <v>19</v>
      </c>
      <c r="Y37" s="36">
        <v>20</v>
      </c>
      <c r="Z37" s="36">
        <v>21</v>
      </c>
      <c r="AA37" s="36">
        <v>22</v>
      </c>
      <c r="AB37" s="36">
        <v>23</v>
      </c>
      <c r="AC37" s="36">
        <v>24</v>
      </c>
      <c r="AD37" s="36">
        <v>25</v>
      </c>
      <c r="AE37" s="36">
        <v>26</v>
      </c>
      <c r="AF37" s="36">
        <v>27</v>
      </c>
      <c r="AG37" s="36">
        <v>28</v>
      </c>
      <c r="AH37" s="36">
        <v>29</v>
      </c>
      <c r="AI37" s="36">
        <v>30</v>
      </c>
      <c r="AJ37" s="36">
        <v>31</v>
      </c>
      <c r="AK37" s="36">
        <v>32</v>
      </c>
      <c r="AL37" s="36">
        <v>33</v>
      </c>
      <c r="AM37" s="36">
        <v>34</v>
      </c>
      <c r="AN37" s="36">
        <v>35</v>
      </c>
      <c r="AO37" s="36">
        <v>36</v>
      </c>
      <c r="AP37" s="36">
        <v>37</v>
      </c>
      <c r="AQ37" s="36">
        <v>38</v>
      </c>
      <c r="AR37" s="36">
        <v>39</v>
      </c>
      <c r="AS37" s="36">
        <v>40</v>
      </c>
    </row>
    <row r="38" spans="3:45" ht="37.5" customHeight="1" x14ac:dyDescent="0.55000000000000004">
      <c r="D38" s="17" t="s">
        <v>16</v>
      </c>
      <c r="E38" s="37" t="s">
        <v>14</v>
      </c>
      <c r="F38" s="39">
        <v>6</v>
      </c>
      <c r="G38" s="68">
        <f t="array" aca="1" ref="G38:G39" ca="1">F38:F39+etaN*MMULT(TRANSPOSE(X),t-MMULT(X,F38:F39))</f>
        <v>6.0117118980700583</v>
      </c>
      <c r="H38" s="68">
        <f t="array" aca="1" ref="H38:H39" ca="1">G38:G39+etaN*MMULT(TRANSPOSE(X),t-MMULT(X,G38:G39))</f>
        <v>6.0216308359558326</v>
      </c>
      <c r="I38" s="68">
        <f t="array" aca="1" ref="I38:I39" ca="1">H38:H39+etaN*MMULT(TRANSPOSE(X),t-MMULT(X,H38:H39))</f>
        <v>6.0301239896643182</v>
      </c>
      <c r="J38" s="68">
        <f t="array" aca="1" ref="J38:J39" ca="1">I38:I39+etaN*MMULT(TRANSPOSE(X),t-MMULT(X,I38:I39))</f>
        <v>6.0374832376395009</v>
      </c>
      <c r="K38" s="68">
        <f t="array" aca="1" ref="K38:K39" ca="1">J38:J39+etaN*MMULT(TRANSPOSE(X),t-MMULT(X,J38:J39))</f>
        <v>6.0439406022814284</v>
      </c>
      <c r="L38" s="68">
        <f t="array" aca="1" ref="L38:L39" ca="1">K38:K39+etaN*MMULT(TRANSPOSE(X),t-MMULT(X,K38:K39))</f>
        <v>6.0496805248220662</v>
      </c>
      <c r="M38" s="68">
        <f t="array" aca="1" ref="M38:M39" ca="1">L38:L39+etaN*MMULT(TRANSPOSE(X),t-MMULT(X,L38:L39))</f>
        <v>6.054849622951906</v>
      </c>
      <c r="N38" s="68">
        <f t="array" aca="1" ref="N38:N39" ca="1">M38:M39+etaN*MMULT(TRANSPOSE(X),t-MMULT(X,M38:M39))</f>
        <v>6.0595644474179222</v>
      </c>
      <c r="O38" s="68">
        <f t="array" aca="1" ref="O38:O39" ca="1">N38:N39+etaN*MMULT(TRANSPOSE(X),t-MMULT(X,N38:N39))</f>
        <v>6.0639176479504195</v>
      </c>
      <c r="P38" s="68">
        <f t="array" aca="1" ref="P38:P39" ca="1">O38:O39+etaN*MMULT(TRANSPOSE(X),t-MMULT(X,O38:O39))</f>
        <v>6.067982874722941</v>
      </c>
      <c r="Q38" s="68">
        <f t="array" aca="1" ref="Q38:Q39" ca="1">P38:P39+etaN*MMULT(TRANSPOSE(X),t-MMULT(X,P38:P39))</f>
        <v>6.0718186746536356</v>
      </c>
      <c r="R38" s="68">
        <f t="array" aca="1" ref="R38:R39" ca="1">Q38:Q39+etaN*MMULT(TRANSPOSE(X),t-MMULT(X,Q38:Q39))</f>
        <v>6.0754715886792612</v>
      </c>
      <c r="S38" s="68">
        <f t="array" aca="1" ref="S38:S39" ca="1">R38:R39+etaN*MMULT(TRANSPOSE(X),t-MMULT(X,R38:R39))</f>
        <v>6.0789786138610031</v>
      </c>
      <c r="T38" s="68">
        <f t="array" aca="1" ref="T38:T39" ca="1">S38:S39+etaN*MMULT(TRANSPOSE(X),t-MMULT(X,S38:S39))</f>
        <v>6.0823691605781338</v>
      </c>
      <c r="U38" s="68">
        <f t="array" aca="1" ref="U38:U39" ca="1">T38:T39+etaN*MMULT(TRANSPOSE(X),t-MMULT(X,T38:T39))</f>
        <v>6.0856666083535185</v>
      </c>
      <c r="V38" s="68">
        <f t="array" aca="1" ref="V38:V39" ca="1">U38:U39+etaN*MMULT(TRANSPOSE(X),t-MMULT(X,U38:U39))</f>
        <v>6.0888895426208602</v>
      </c>
      <c r="W38" s="68">
        <f t="array" aca="1" ref="W38:W39" ca="1">V38:V39+etaN*MMULT(TRANSPOSE(X),t-MMULT(X,V38:V39))</f>
        <v>6.0920527378640035</v>
      </c>
      <c r="X38" s="68">
        <f t="array" aca="1" ref="X38:X39" ca="1">W38:W39+etaN*MMULT(TRANSPOSE(X),t-MMULT(X,W38:W39))</f>
        <v>6.0951679391406275</v>
      </c>
      <c r="Y38" s="68">
        <f t="array" aca="1" ref="Y38:Y39" ca="1">X38:X39+etaN*MMULT(TRANSPOSE(X),t-MMULT(X,X38:X39))</f>
        <v>6.0982444833362939</v>
      </c>
      <c r="Z38" s="68">
        <f t="array" aca="1" ref="Z38:Z39" ca="1">Y38:Y39+etaN*MMULT(TRANSPOSE(X),t-MMULT(X,Y38:Y39))</f>
        <v>6.1012897930158845</v>
      </c>
      <c r="AA38" s="68">
        <f t="array" aca="1" ref="AA38:AA39" ca="1">Z38:Z39+etaN*MMULT(TRANSPOSE(X),t-MMULT(X,Z38:Z39))</f>
        <v>6.1043097689992933</v>
      </c>
      <c r="AB38" s="68">
        <f t="array" aca="1" ref="AB38:AB39" ca="1">AA38:AA39+etaN*MMULT(TRANSPOSE(X),t-MMULT(X,AA38:AA39))</f>
        <v>6.1073091024303308</v>
      </c>
      <c r="AC38" s="68">
        <f t="array" aca="1" ref="AC38:AC39" ca="1">AB38:AB39+etaN*MMULT(TRANSPOSE(X),t-MMULT(X,AB38:AB39))</f>
        <v>6.1102915228486276</v>
      </c>
      <c r="AD38" s="68">
        <f t="array" aca="1" ref="AD38:AD39" ca="1">AC38:AC39+etaN*MMULT(TRANSPOSE(X),t-MMULT(X,AC38:AC39))</f>
        <v>6.113259995388618</v>
      </c>
      <c r="AE38" s="68">
        <f t="array" aca="1" ref="AE38:AE39" ca="1">AD38:AD39+etaN*MMULT(TRANSPOSE(X),t-MMULT(X,AD38:AD39))</f>
        <v>6.1162168775382737</v>
      </c>
      <c r="AF38" s="68">
        <f t="array" aca="1" ref="AF38:AF39" ca="1">AE38:AE39+etaN*MMULT(TRANSPOSE(X),t-MMULT(X,AE38:AE39))</f>
        <v>6.1191640437508124</v>
      </c>
      <c r="AG38" s="68">
        <f t="array" aca="1" ref="AG38:AG39" ca="1">AF38:AF39+etaN*MMULT(TRANSPOSE(X),t-MMULT(X,AF38:AF39))</f>
        <v>6.1221029845018702</v>
      </c>
      <c r="AH38" s="68">
        <f t="array" aca="1" ref="AH38:AH39" ca="1">AG38:AG39+etaN*MMULT(TRANSPOSE(X),t-MMULT(X,AG38:AG39))</f>
        <v>6.1250348850326946</v>
      </c>
      <c r="AI38" s="69">
        <f t="array" aca="1" ref="AI38:AI39" ca="1">AH38:AH39+etaN*MMULT(TRANSPOSE(X),t-MMULT(X,AH38:AH39))</f>
        <v>6.1279606879452118</v>
      </c>
      <c r="AJ38" s="70">
        <f t="array" aca="1" ref="AJ38:AJ39" ca="1">AI38:AI39+etaN*MMULT(TRANSPOSE(X),t-MMULT(X,AI38:AI39))</f>
        <v>6.1308811429605159</v>
      </c>
      <c r="AK38" s="68">
        <f t="array" aca="1" ref="AK38:AK39" ca="1">AJ38:AJ39+etaN*MMULT(TRANSPOSE(X),t-MMULT(X,AJ38:AJ39))</f>
        <v>6.1337968464732224</v>
      </c>
      <c r="AL38" s="68">
        <f t="array" aca="1" ref="AL38:AL39" ca="1">AK38:AK39+etaN*MMULT(TRANSPOSE(X),t-MMULT(X,AK38:AK39))</f>
        <v>6.136708272994281</v>
      </c>
      <c r="AM38" s="68">
        <f t="array" aca="1" ref="AM38:AM39" ca="1">AL38:AL39+etaN*MMULT(TRANSPOSE(X),t-MMULT(X,AL38:AL39))</f>
        <v>6.1396158001457053</v>
      </c>
      <c r="AN38" s="68">
        <f t="array" aca="1" ref="AN38:AN39" ca="1">AM38:AM39+etaN*MMULT(TRANSPOSE(X),t-MMULT(X,AM38:AM39))</f>
        <v>6.1425197285295532</v>
      </c>
      <c r="AO38" s="68">
        <f t="array" aca="1" ref="AO38:AO39" ca="1">AN38:AN39+etaN*MMULT(TRANSPOSE(X),t-MMULT(X,AN38:AN39))</f>
        <v>6.1454202975223096</v>
      </c>
      <c r="AP38" s="68">
        <f t="array" aca="1" ref="AP38:AP39" ca="1">AO38:AO39+etaN*MMULT(TRANSPOSE(X),t-MMULT(X,AO38:AO39))</f>
        <v>6.1483176978302625</v>
      </c>
      <c r="AQ38" s="68">
        <f t="array" aca="1" ref="AQ38:AQ39" ca="1">AP38:AP39+etaN*MMULT(TRANSPOSE(X),t-MMULT(X,AP38:AP39))</f>
        <v>6.1512120814701072</v>
      </c>
      <c r="AR38" s="68">
        <f t="array" aca="1" ref="AR38:AR39" ca="1">AQ38:AQ39+etaN*MMULT(TRANSPOSE(X),t-MMULT(X,AQ38:AQ39))</f>
        <v>6.1541035697027988</v>
      </c>
      <c r="AS38" s="68">
        <f t="array" aca="1" ref="AS38:AS39" ca="1">AR38:AR39+etaN*MMULT(TRANSPOSE(X),t-MMULT(X,AR38:AR39))</f>
        <v>6.1569922593403774</v>
      </c>
    </row>
    <row r="39" spans="3:45" ht="30.75" thickBot="1" x14ac:dyDescent="0.6">
      <c r="D39" s="17"/>
      <c r="E39" s="42" t="s">
        <v>15</v>
      </c>
      <c r="F39" s="40">
        <v>5</v>
      </c>
      <c r="G39" s="71">
        <f ca="1"/>
        <v>5.0601282958548497</v>
      </c>
      <c r="H39" s="71">
        <f ca="1"/>
        <v>5.1078381064930953</v>
      </c>
      <c r="I39" s="71">
        <f ca="1"/>
        <v>5.1456762054620766</v>
      </c>
      <c r="J39" s="71">
        <f ca="1"/>
        <v>5.1756670910013183</v>
      </c>
      <c r="K39" s="71">
        <f ca="1"/>
        <v>5.199420090761409</v>
      </c>
      <c r="L39" s="71">
        <f ca="1"/>
        <v>5.2182145022051545</v>
      </c>
      <c r="M39" s="71">
        <f ca="1"/>
        <v>5.2330672729860392</v>
      </c>
      <c r="N39" s="71">
        <f ca="1"/>
        <v>5.244786801888397</v>
      </c>
      <c r="O39" s="71">
        <f ca="1"/>
        <v>5.2540157066314501</v>
      </c>
      <c r="P39" s="71">
        <f ca="1"/>
        <v>5.26126482113881</v>
      </c>
      <c r="Q39" s="71">
        <f ca="1"/>
        <v>5.2669402208758598</v>
      </c>
      <c r="R39" s="71">
        <f ca="1"/>
        <v>5.2713647060121298</v>
      </c>
      <c r="S39" s="71">
        <f ca="1"/>
        <v>5.2747948789607468</v>
      </c>
      <c r="T39" s="71">
        <f ca="1"/>
        <v>5.2774347197705858</v>
      </c>
      <c r="U39" s="71">
        <f ca="1"/>
        <v>5.2794463775680045</v>
      </c>
      <c r="V39" s="71">
        <f ca="1"/>
        <v>5.2809587489620542</v>
      </c>
      <c r="W39" s="71">
        <f ca="1"/>
        <v>5.2820742972478563</v>
      </c>
      <c r="X39" s="71">
        <f ca="1"/>
        <v>5.2828744731734698</v>
      </c>
      <c r="Y39" s="71">
        <f ca="1"/>
        <v>5.2834240240522261</v>
      </c>
      <c r="Z39" s="71">
        <f ca="1"/>
        <v>5.2837744191911966</v>
      </c>
      <c r="AA39" s="71">
        <f ca="1"/>
        <v>5.2839665728557508</v>
      </c>
      <c r="AB39" s="71">
        <f ca="1"/>
        <v>5.2840330088268033</v>
      </c>
      <c r="AC39" s="71">
        <f ca="1"/>
        <v>5.2839995810651663</v>
      </c>
      <c r="AD39" s="71">
        <f ca="1"/>
        <v>5.2838868415135929</v>
      </c>
      <c r="AE39" s="71">
        <f ca="1"/>
        <v>5.2837111273991493</v>
      </c>
      <c r="AF39" s="71">
        <f ca="1"/>
        <v>5.2834854255589025</v>
      </c>
      <c r="AG39" s="71">
        <f ca="1"/>
        <v>5.2832200595154921</v>
      </c>
      <c r="AH39" s="71">
        <f ca="1"/>
        <v>5.2829232356518512</v>
      </c>
      <c r="AI39" s="72">
        <f ca="1"/>
        <v>5.2826014773800738</v>
      </c>
      <c r="AJ39" s="73">
        <f ca="1"/>
        <v>5.2822599702738442</v>
      </c>
      <c r="AK39" s="71">
        <f ca="1"/>
        <v>5.2819028364234182</v>
      </c>
      <c r="AL39" s="71">
        <f ca="1"/>
        <v>5.2815333525277302</v>
      </c>
      <c r="AM39" s="71">
        <f ca="1"/>
        <v>5.2811541232616248</v>
      </c>
      <c r="AN39" s="71">
        <f ca="1"/>
        <v>5.280767219090106</v>
      </c>
      <c r="AO39" s="71">
        <f ca="1"/>
        <v>5.2803742858205593</v>
      </c>
      <c r="AP39" s="71">
        <f ca="1"/>
        <v>5.2799766316887409</v>
      </c>
      <c r="AQ39" s="71">
        <f ca="1"/>
        <v>5.2795752965857545</v>
      </c>
      <c r="AR39" s="71">
        <f ca="1"/>
        <v>5.279171107088426</v>
      </c>
      <c r="AS39" s="71">
        <f ca="1"/>
        <v>5.278764720204415</v>
      </c>
    </row>
    <row r="42" spans="3:45" x14ac:dyDescent="0.2">
      <c r="D42" s="36"/>
    </row>
    <row r="47" spans="3:45" x14ac:dyDescent="0.2">
      <c r="D47" s="9"/>
      <c r="E47" s="9"/>
    </row>
    <row r="48" spans="3:45" x14ac:dyDescent="0.2">
      <c r="D48" s="9"/>
      <c r="E48" s="9"/>
    </row>
    <row r="49" spans="4:5" x14ac:dyDescent="0.2">
      <c r="D49" s="9"/>
      <c r="E49" s="9"/>
    </row>
    <row r="50" spans="4:5" x14ac:dyDescent="0.2">
      <c r="D50" s="9"/>
      <c r="E50" s="9"/>
    </row>
    <row r="51" spans="4:5" x14ac:dyDescent="0.2">
      <c r="D51" s="9"/>
      <c r="E51" s="9"/>
    </row>
    <row r="52" spans="4:5" x14ac:dyDescent="0.2">
      <c r="D52" s="9"/>
      <c r="E52" s="9"/>
    </row>
    <row r="53" spans="4:5" x14ac:dyDescent="0.2">
      <c r="D53" s="9"/>
      <c r="E53" s="9"/>
    </row>
    <row r="54" spans="4:5" x14ac:dyDescent="0.2">
      <c r="D54" s="9"/>
      <c r="E54" s="9"/>
    </row>
    <row r="55" spans="4:5" x14ac:dyDescent="0.2">
      <c r="D55" s="9"/>
      <c r="E55" s="9"/>
    </row>
    <row r="56" spans="4:5" x14ac:dyDescent="0.2">
      <c r="D56" s="9"/>
      <c r="E56" s="9"/>
    </row>
    <row r="57" spans="4:5" x14ac:dyDescent="0.2">
      <c r="D57" s="9"/>
      <c r="E57" s="9"/>
    </row>
    <row r="58" spans="4:5" x14ac:dyDescent="0.2">
      <c r="D58" s="9"/>
      <c r="E58" s="9"/>
    </row>
    <row r="59" spans="4:5" x14ac:dyDescent="0.2">
      <c r="D59" s="9"/>
      <c r="E59" s="9"/>
    </row>
    <row r="60" spans="4:5" x14ac:dyDescent="0.2">
      <c r="D60" s="9"/>
      <c r="E60" s="9"/>
    </row>
    <row r="61" spans="4:5" x14ac:dyDescent="0.2">
      <c r="D61" s="9"/>
      <c r="E61" s="9"/>
    </row>
    <row r="62" spans="4:5" x14ac:dyDescent="0.2">
      <c r="D62" s="9"/>
      <c r="E62" s="9"/>
    </row>
    <row r="63" spans="4:5" x14ac:dyDescent="0.2">
      <c r="D63" s="9"/>
      <c r="E63" s="9"/>
    </row>
    <row r="64" spans="4:5" x14ac:dyDescent="0.2">
      <c r="D64" s="9"/>
      <c r="E64" s="9"/>
    </row>
    <row r="65" spans="4:5" x14ac:dyDescent="0.2">
      <c r="D65" s="9"/>
      <c r="E65" s="9"/>
    </row>
    <row r="66" spans="4:5" x14ac:dyDescent="0.2">
      <c r="D66" s="9"/>
      <c r="E66" s="9"/>
    </row>
    <row r="67" spans="4:5" x14ac:dyDescent="0.2">
      <c r="D67" s="9"/>
      <c r="E67" s="9"/>
    </row>
    <row r="68" spans="4:5" x14ac:dyDescent="0.2">
      <c r="D68" s="9"/>
      <c r="E68" s="9"/>
    </row>
    <row r="69" spans="4:5" x14ac:dyDescent="0.2">
      <c r="D69" s="9"/>
      <c r="E69" s="9"/>
    </row>
    <row r="70" spans="4:5" x14ac:dyDescent="0.2">
      <c r="D70" s="9"/>
      <c r="E70" s="9"/>
    </row>
    <row r="71" spans="4:5" x14ac:dyDescent="0.2">
      <c r="D71" s="9"/>
      <c r="E71" s="9"/>
    </row>
    <row r="72" spans="4:5" x14ac:dyDescent="0.2">
      <c r="D72" s="9"/>
      <c r="E72" s="9"/>
    </row>
    <row r="73" spans="4:5" x14ac:dyDescent="0.2">
      <c r="D73" s="9"/>
      <c r="E73" s="9"/>
    </row>
    <row r="74" spans="4:5" x14ac:dyDescent="0.2">
      <c r="D74" s="9"/>
      <c r="E74" s="9"/>
    </row>
    <row r="75" spans="4:5" x14ac:dyDescent="0.2">
      <c r="D75" s="9"/>
      <c r="E75" s="9"/>
    </row>
    <row r="76" spans="4:5" x14ac:dyDescent="0.2">
      <c r="D76" s="9"/>
      <c r="E76" s="9"/>
    </row>
    <row r="77" spans="4:5" x14ac:dyDescent="0.2">
      <c r="D77" s="9"/>
      <c r="E77" s="9"/>
    </row>
    <row r="78" spans="4:5" x14ac:dyDescent="0.2">
      <c r="D78" s="9"/>
      <c r="E78" s="9"/>
    </row>
    <row r="79" spans="4:5" x14ac:dyDescent="0.2">
      <c r="D79" s="9"/>
      <c r="E79" s="9"/>
    </row>
    <row r="80" spans="4:5" x14ac:dyDescent="0.2">
      <c r="D80" s="9"/>
      <c r="E80" s="9"/>
    </row>
    <row r="81" spans="4:5" x14ac:dyDescent="0.2">
      <c r="D81" s="9"/>
      <c r="E81" s="9"/>
    </row>
    <row r="82" spans="4:5" x14ac:dyDescent="0.2">
      <c r="D82" s="9"/>
      <c r="E82" s="9"/>
    </row>
    <row r="83" spans="4:5" x14ac:dyDescent="0.2">
      <c r="D83" s="9"/>
      <c r="E83" s="9"/>
    </row>
    <row r="84" spans="4:5" x14ac:dyDescent="0.2">
      <c r="D84" s="9"/>
      <c r="E84" s="9"/>
    </row>
    <row r="85" spans="4:5" x14ac:dyDescent="0.2">
      <c r="D85" s="9"/>
      <c r="E85" s="9"/>
    </row>
    <row r="86" spans="4:5" x14ac:dyDescent="0.2">
      <c r="D86" s="9"/>
      <c r="E86" s="9"/>
    </row>
    <row r="87" spans="4:5" x14ac:dyDescent="0.2">
      <c r="D87" s="9"/>
      <c r="E87" s="9"/>
    </row>
    <row r="88" spans="4:5" x14ac:dyDescent="0.2">
      <c r="D88" s="9"/>
      <c r="E88" s="9"/>
    </row>
    <row r="89" spans="4:5" x14ac:dyDescent="0.2">
      <c r="D89" s="9"/>
      <c r="E89" s="9"/>
    </row>
    <row r="90" spans="4:5" x14ac:dyDescent="0.2">
      <c r="D90" s="9"/>
      <c r="E90" s="9"/>
    </row>
    <row r="91" spans="4:5" x14ac:dyDescent="0.2">
      <c r="D91" s="9"/>
      <c r="E91" s="9"/>
    </row>
    <row r="92" spans="4:5" x14ac:dyDescent="0.2">
      <c r="D92" s="9"/>
      <c r="E92" s="9"/>
    </row>
    <row r="93" spans="4:5" x14ac:dyDescent="0.2">
      <c r="D93" s="9"/>
      <c r="E93" s="9"/>
    </row>
    <row r="94" spans="4:5" x14ac:dyDescent="0.2">
      <c r="D94" s="9"/>
      <c r="E94" s="9"/>
    </row>
    <row r="95" spans="4:5" x14ac:dyDescent="0.2">
      <c r="D95" s="9"/>
      <c r="E95" s="9"/>
    </row>
    <row r="96" spans="4:5" x14ac:dyDescent="0.2">
      <c r="D96" s="9"/>
      <c r="E96" s="9"/>
    </row>
    <row r="97" spans="4:5" x14ac:dyDescent="0.2">
      <c r="D97" s="9"/>
      <c r="E97" s="9"/>
    </row>
    <row r="98" spans="4:5" x14ac:dyDescent="0.2">
      <c r="D98" s="9"/>
      <c r="E98" s="9"/>
    </row>
    <row r="99" spans="4:5" x14ac:dyDescent="0.2">
      <c r="D99" s="9"/>
      <c r="E99" s="9"/>
    </row>
    <row r="100" spans="4:5" x14ac:dyDescent="0.2">
      <c r="D100" s="9"/>
      <c r="E100" s="9"/>
    </row>
    <row r="101" spans="4:5" x14ac:dyDescent="0.2">
      <c r="D101" s="9"/>
      <c r="E101" s="9"/>
    </row>
    <row r="102" spans="4:5" x14ac:dyDescent="0.2">
      <c r="D102" s="9"/>
      <c r="E102" s="9"/>
    </row>
    <row r="103" spans="4:5" x14ac:dyDescent="0.2">
      <c r="D103" s="9"/>
      <c r="E103" s="9"/>
    </row>
    <row r="104" spans="4:5" x14ac:dyDescent="0.2">
      <c r="D104" s="9"/>
      <c r="E104" s="9"/>
    </row>
    <row r="105" spans="4:5" x14ac:dyDescent="0.2">
      <c r="D105" s="9"/>
      <c r="E105" s="9"/>
    </row>
    <row r="106" spans="4:5" x14ac:dyDescent="0.2">
      <c r="D106" s="9"/>
      <c r="E106" s="9"/>
    </row>
    <row r="107" spans="4:5" x14ac:dyDescent="0.2">
      <c r="D107" s="9"/>
      <c r="E107" s="9"/>
    </row>
    <row r="108" spans="4:5" x14ac:dyDescent="0.2">
      <c r="D108" s="9"/>
      <c r="E108" s="9"/>
    </row>
    <row r="109" spans="4:5" x14ac:dyDescent="0.2">
      <c r="D109" s="9"/>
      <c r="E109" s="9"/>
    </row>
    <row r="110" spans="4:5" x14ac:dyDescent="0.2">
      <c r="D110" s="9"/>
      <c r="E110" s="9"/>
    </row>
    <row r="111" spans="4:5" x14ac:dyDescent="0.2">
      <c r="D111" s="9"/>
      <c r="E111" s="9"/>
    </row>
    <row r="112" spans="4:5" x14ac:dyDescent="0.2">
      <c r="D112" s="9"/>
      <c r="E112" s="9"/>
    </row>
    <row r="113" spans="4:5" x14ac:dyDescent="0.2">
      <c r="D113" s="9"/>
      <c r="E113" s="9"/>
    </row>
    <row r="114" spans="4:5" x14ac:dyDescent="0.2">
      <c r="D114" s="9"/>
      <c r="E114" s="9"/>
    </row>
    <row r="115" spans="4:5" x14ac:dyDescent="0.2">
      <c r="D115" s="9"/>
      <c r="E115" s="9"/>
    </row>
    <row r="116" spans="4:5" x14ac:dyDescent="0.2">
      <c r="D116" s="9"/>
      <c r="E116" s="9"/>
    </row>
    <row r="117" spans="4:5" x14ac:dyDescent="0.2">
      <c r="D117" s="9"/>
      <c r="E117" s="9"/>
    </row>
    <row r="118" spans="4:5" x14ac:dyDescent="0.2">
      <c r="D118" s="9"/>
      <c r="E118" s="9"/>
    </row>
    <row r="119" spans="4:5" x14ac:dyDescent="0.2">
      <c r="D119" s="9"/>
      <c r="E119" s="9"/>
    </row>
    <row r="120" spans="4:5" x14ac:dyDescent="0.2">
      <c r="D120" s="9"/>
      <c r="E120" s="9"/>
    </row>
    <row r="121" spans="4:5" x14ac:dyDescent="0.2">
      <c r="D121" s="9"/>
      <c r="E121" s="9"/>
    </row>
    <row r="122" spans="4:5" x14ac:dyDescent="0.2">
      <c r="D122" s="9"/>
      <c r="E122" s="9"/>
    </row>
    <row r="123" spans="4:5" x14ac:dyDescent="0.2">
      <c r="D123" s="9"/>
      <c r="E123" s="9"/>
    </row>
    <row r="124" spans="4:5" x14ac:dyDescent="0.2">
      <c r="D124" s="9"/>
      <c r="E124" s="9"/>
    </row>
    <row r="125" spans="4:5" x14ac:dyDescent="0.2">
      <c r="D125" s="9"/>
      <c r="E125" s="9"/>
    </row>
    <row r="126" spans="4:5" x14ac:dyDescent="0.2">
      <c r="D126" s="9"/>
      <c r="E126" s="9"/>
    </row>
    <row r="127" spans="4:5" x14ac:dyDescent="0.2">
      <c r="D127" s="9"/>
      <c r="E127" s="9"/>
    </row>
    <row r="128" spans="4:5" x14ac:dyDescent="0.2">
      <c r="D128" s="9"/>
      <c r="E128" s="9"/>
    </row>
    <row r="129" spans="4:5" x14ac:dyDescent="0.2">
      <c r="D129" s="9"/>
      <c r="E129" s="9"/>
    </row>
    <row r="130" spans="4:5" x14ac:dyDescent="0.2">
      <c r="D130" s="9"/>
      <c r="E130" s="9"/>
    </row>
    <row r="131" spans="4:5" x14ac:dyDescent="0.2">
      <c r="D131" s="9"/>
      <c r="E131" s="9"/>
    </row>
    <row r="132" spans="4:5" x14ac:dyDescent="0.2">
      <c r="D132" s="9"/>
      <c r="E132" s="9"/>
    </row>
    <row r="133" spans="4:5" x14ac:dyDescent="0.2">
      <c r="D133" s="9"/>
      <c r="E133" s="9"/>
    </row>
    <row r="134" spans="4:5" x14ac:dyDescent="0.2">
      <c r="D134" s="9"/>
      <c r="E134" s="9"/>
    </row>
    <row r="135" spans="4:5" x14ac:dyDescent="0.2">
      <c r="D135" s="9"/>
      <c r="E135" s="9"/>
    </row>
    <row r="136" spans="4:5" x14ac:dyDescent="0.2">
      <c r="D136" s="9"/>
      <c r="E136" s="9"/>
    </row>
    <row r="137" spans="4:5" x14ac:dyDescent="0.2">
      <c r="D137" s="9"/>
      <c r="E137" s="9"/>
    </row>
    <row r="138" spans="4:5" x14ac:dyDescent="0.2">
      <c r="D138" s="9"/>
      <c r="E138" s="9"/>
    </row>
    <row r="139" spans="4:5" x14ac:dyDescent="0.2">
      <c r="D139" s="9"/>
      <c r="E139" s="9"/>
    </row>
    <row r="140" spans="4:5" x14ac:dyDescent="0.2">
      <c r="D140" s="9"/>
      <c r="E140" s="9"/>
    </row>
    <row r="141" spans="4:5" x14ac:dyDescent="0.2">
      <c r="D141" s="9"/>
      <c r="E141" s="9"/>
    </row>
    <row r="142" spans="4:5" x14ac:dyDescent="0.2">
      <c r="D142" s="9"/>
      <c r="E142" s="9"/>
    </row>
    <row r="143" spans="4:5" x14ac:dyDescent="0.2">
      <c r="D143" s="9"/>
      <c r="E143" s="9"/>
    </row>
    <row r="144" spans="4:5" x14ac:dyDescent="0.2">
      <c r="D144" s="9"/>
      <c r="E144" s="9"/>
    </row>
    <row r="145" spans="4:5" x14ac:dyDescent="0.2">
      <c r="D145" s="9"/>
      <c r="E145" s="9"/>
    </row>
    <row r="146" spans="4:5" x14ac:dyDescent="0.2">
      <c r="D146" s="9"/>
      <c r="E146" s="9"/>
    </row>
    <row r="147" spans="4:5" x14ac:dyDescent="0.2">
      <c r="D147" s="9"/>
      <c r="E147" s="9"/>
    </row>
    <row r="148" spans="4:5" x14ac:dyDescent="0.2">
      <c r="D148" s="9"/>
      <c r="E148" s="9"/>
    </row>
    <row r="149" spans="4:5" x14ac:dyDescent="0.2">
      <c r="D149" s="9"/>
      <c r="E149" s="9"/>
    </row>
    <row r="150" spans="4:5" x14ac:dyDescent="0.2">
      <c r="D150" s="9"/>
      <c r="E150" s="9"/>
    </row>
    <row r="151" spans="4:5" x14ac:dyDescent="0.2">
      <c r="D151" s="9"/>
      <c r="E151" s="9"/>
    </row>
    <row r="152" spans="4:5" x14ac:dyDescent="0.2">
      <c r="D152" s="9"/>
      <c r="E152" s="9"/>
    </row>
    <row r="153" spans="4:5" x14ac:dyDescent="0.2">
      <c r="D153" s="9"/>
      <c r="E153" s="9"/>
    </row>
    <row r="154" spans="4:5" x14ac:dyDescent="0.2">
      <c r="D154" s="9"/>
      <c r="E154" s="9"/>
    </row>
    <row r="155" spans="4:5" x14ac:dyDescent="0.2">
      <c r="D155" s="9"/>
      <c r="E155" s="9"/>
    </row>
    <row r="156" spans="4:5" x14ac:dyDescent="0.2">
      <c r="D156" s="9"/>
      <c r="E156" s="9"/>
    </row>
    <row r="157" spans="4:5" x14ac:dyDescent="0.2">
      <c r="D157" s="9"/>
      <c r="E157" s="9"/>
    </row>
    <row r="158" spans="4:5" x14ac:dyDescent="0.2">
      <c r="D158" s="9"/>
      <c r="E158" s="9"/>
    </row>
    <row r="159" spans="4:5" x14ac:dyDescent="0.2">
      <c r="D159" s="9"/>
      <c r="E159" s="9"/>
    </row>
    <row r="160" spans="4:5" x14ac:dyDescent="0.2">
      <c r="D160" s="9"/>
      <c r="E160" s="9"/>
    </row>
    <row r="161" spans="4:5" x14ac:dyDescent="0.2">
      <c r="D161" s="9"/>
      <c r="E161" s="9"/>
    </row>
    <row r="162" spans="4:5" x14ac:dyDescent="0.2">
      <c r="D162" s="9"/>
      <c r="E162" s="9"/>
    </row>
    <row r="163" spans="4:5" x14ac:dyDescent="0.2">
      <c r="D163" s="9"/>
      <c r="E163" s="9"/>
    </row>
    <row r="164" spans="4:5" x14ac:dyDescent="0.2">
      <c r="D164" s="9"/>
      <c r="E164" s="9"/>
    </row>
    <row r="165" spans="4:5" x14ac:dyDescent="0.2">
      <c r="D165" s="9"/>
      <c r="E165" s="9"/>
    </row>
    <row r="166" spans="4:5" x14ac:dyDescent="0.2">
      <c r="D166" s="9"/>
      <c r="E166" s="9"/>
    </row>
    <row r="167" spans="4:5" x14ac:dyDescent="0.2">
      <c r="D167" s="9"/>
      <c r="E167" s="9"/>
    </row>
    <row r="168" spans="4:5" x14ac:dyDescent="0.2">
      <c r="D168" s="9"/>
      <c r="E168" s="9"/>
    </row>
    <row r="169" spans="4:5" x14ac:dyDescent="0.2">
      <c r="D169" s="9"/>
      <c r="E169" s="9"/>
    </row>
    <row r="170" spans="4:5" x14ac:dyDescent="0.2">
      <c r="D170" s="9"/>
      <c r="E170" s="9"/>
    </row>
    <row r="171" spans="4:5" x14ac:dyDescent="0.2">
      <c r="D171" s="9"/>
      <c r="E171" s="9"/>
    </row>
    <row r="172" spans="4:5" x14ac:dyDescent="0.2">
      <c r="D172" s="9"/>
      <c r="E172" s="9"/>
    </row>
    <row r="173" spans="4:5" x14ac:dyDescent="0.2">
      <c r="D173" s="9"/>
      <c r="E173" s="9"/>
    </row>
    <row r="174" spans="4:5" x14ac:dyDescent="0.2">
      <c r="D174" s="9"/>
      <c r="E174" s="9"/>
    </row>
    <row r="175" spans="4:5" x14ac:dyDescent="0.2">
      <c r="D175" s="9"/>
      <c r="E175" s="9"/>
    </row>
    <row r="176" spans="4:5" x14ac:dyDescent="0.2">
      <c r="D176" s="9"/>
      <c r="E176" s="9"/>
    </row>
    <row r="177" spans="4:5" x14ac:dyDescent="0.2">
      <c r="D177" s="9"/>
      <c r="E177" s="9"/>
    </row>
    <row r="178" spans="4:5" x14ac:dyDescent="0.2">
      <c r="D178" s="9"/>
      <c r="E178" s="9"/>
    </row>
    <row r="179" spans="4:5" x14ac:dyDescent="0.2">
      <c r="D179" s="9"/>
      <c r="E179" s="9"/>
    </row>
    <row r="180" spans="4:5" x14ac:dyDescent="0.2">
      <c r="D180" s="9"/>
      <c r="E180" s="9"/>
    </row>
    <row r="181" spans="4:5" x14ac:dyDescent="0.2">
      <c r="D181" s="9"/>
      <c r="E181" s="9"/>
    </row>
    <row r="182" spans="4:5" x14ac:dyDescent="0.2">
      <c r="D182" s="9"/>
      <c r="E182" s="9"/>
    </row>
    <row r="183" spans="4:5" x14ac:dyDescent="0.2">
      <c r="D183" s="9"/>
      <c r="E183" s="9"/>
    </row>
    <row r="184" spans="4:5" x14ac:dyDescent="0.2">
      <c r="D184" s="9"/>
      <c r="E184" s="9"/>
    </row>
    <row r="185" spans="4:5" x14ac:dyDescent="0.2">
      <c r="D185" s="9"/>
      <c r="E185" s="9"/>
    </row>
    <row r="186" spans="4:5" x14ac:dyDescent="0.2">
      <c r="D186" s="9"/>
      <c r="E186" s="9"/>
    </row>
    <row r="187" spans="4:5" x14ac:dyDescent="0.2">
      <c r="D187" s="9"/>
      <c r="E187" s="9"/>
    </row>
    <row r="188" spans="4:5" x14ac:dyDescent="0.2">
      <c r="D188" s="9"/>
      <c r="E188" s="9"/>
    </row>
    <row r="189" spans="4:5" x14ac:dyDescent="0.2">
      <c r="D189" s="9"/>
      <c r="E189" s="9"/>
    </row>
    <row r="190" spans="4:5" x14ac:dyDescent="0.2">
      <c r="D190" s="9"/>
      <c r="E190" s="9"/>
    </row>
    <row r="191" spans="4:5" x14ac:dyDescent="0.2">
      <c r="D191" s="9"/>
      <c r="E191" s="9"/>
    </row>
    <row r="192" spans="4:5" x14ac:dyDescent="0.2">
      <c r="D192" s="9"/>
      <c r="E192" s="9"/>
    </row>
    <row r="193" spans="4:5" x14ac:dyDescent="0.2">
      <c r="D193" s="9"/>
      <c r="E193" s="9"/>
    </row>
    <row r="194" spans="4:5" x14ac:dyDescent="0.2">
      <c r="D194" s="9"/>
      <c r="E194" s="9"/>
    </row>
    <row r="195" spans="4:5" x14ac:dyDescent="0.2">
      <c r="D195" s="9"/>
      <c r="E195" s="9"/>
    </row>
    <row r="196" spans="4:5" x14ac:dyDescent="0.2">
      <c r="D196" s="9"/>
      <c r="E196" s="9"/>
    </row>
    <row r="197" spans="4:5" x14ac:dyDescent="0.2">
      <c r="D197" s="9"/>
      <c r="E197" s="9"/>
    </row>
    <row r="198" spans="4:5" x14ac:dyDescent="0.2">
      <c r="D198" s="9"/>
      <c r="E198" s="9"/>
    </row>
    <row r="199" spans="4:5" x14ac:dyDescent="0.2">
      <c r="D199" s="9"/>
      <c r="E199" s="9"/>
    </row>
  </sheetData>
  <mergeCells count="17">
    <mergeCell ref="E18:G18"/>
    <mergeCell ref="B12:B13"/>
    <mergeCell ref="L30:N31"/>
    <mergeCell ref="D32:D33"/>
    <mergeCell ref="E35:R36"/>
    <mergeCell ref="C35:C36"/>
    <mergeCell ref="D35:D36"/>
    <mergeCell ref="D38:D39"/>
    <mergeCell ref="E6:F6"/>
    <mergeCell ref="E21:R22"/>
    <mergeCell ref="D24:D25"/>
    <mergeCell ref="C27:D28"/>
    <mergeCell ref="B30:D31"/>
    <mergeCell ref="I30:I31"/>
    <mergeCell ref="A7:A8"/>
    <mergeCell ref="A10:A11"/>
    <mergeCell ref="B10:B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9D9C81E838C74F985EEA30EC4BB229" ma:contentTypeVersion="14" ma:contentTypeDescription="Create a new document." ma:contentTypeScope="" ma:versionID="3f7c9110ac8d4f5faa764d2d356ec90a">
  <xsd:schema xmlns:xsd="http://www.w3.org/2001/XMLSchema" xmlns:xs="http://www.w3.org/2001/XMLSchema" xmlns:p="http://schemas.microsoft.com/office/2006/metadata/properties" xmlns:ns3="38ba4c33-77d7-48b1-9088-3ac9cbe3275a" xmlns:ns4="2fb9d49a-94b6-4702-8584-f5659814f446" targetNamespace="http://schemas.microsoft.com/office/2006/metadata/properties" ma:root="true" ma:fieldsID="afa2b6562a636135f044fd66acdfa070" ns3:_="" ns4:_="">
    <xsd:import namespace="38ba4c33-77d7-48b1-9088-3ac9cbe3275a"/>
    <xsd:import namespace="2fb9d49a-94b6-4702-8584-f5659814f4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a4c33-77d7-48b1-9088-3ac9cbe32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9d49a-94b6-4702-8584-f5659814f44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3D8889-7AAA-414B-9593-E50C2FDEF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ba4c33-77d7-48b1-9088-3ac9cbe3275a"/>
    <ds:schemaRef ds:uri="2fb9d49a-94b6-4702-8584-f5659814f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F22C36-60C1-4826-82F8-3F0DDEB112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CF64CD-8886-4264-A74C-76FE54A8AB6E}">
  <ds:schemaRefs>
    <ds:schemaRef ds:uri="http://purl.org/dc/terms/"/>
    <ds:schemaRef ds:uri="http://schemas.microsoft.com/office/2006/documentManagement/types"/>
    <ds:schemaRef ds:uri="2fb9d49a-94b6-4702-8584-f5659814f446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8ba4c33-77d7-48b1-9088-3ac9cbe3275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LR</vt:lpstr>
      <vt:lpstr>eta</vt:lpstr>
      <vt:lpstr>etaN</vt:lpstr>
      <vt:lpstr>N</vt:lpstr>
      <vt:lpstr>noise</vt:lpstr>
      <vt:lpstr>noise_a</vt:lpstr>
      <vt:lpstr>noise_m</vt:lpstr>
      <vt:lpstr>t</vt:lpstr>
      <vt:lpstr>w</vt:lpstr>
      <vt:lpstr>w_d0</vt:lpstr>
      <vt:lpstr>w_d1</vt:lpstr>
      <vt:lpstr>w_GD</vt:lpstr>
      <vt:lpstr>X</vt:lpstr>
      <vt:lpstr>x0</vt:lpstr>
      <vt:lpstr>XT</vt:lpstr>
      <vt:lpstr>XTt</vt:lpstr>
      <vt:lpstr>XTX</vt:lpstr>
      <vt:lpstr>XTX1</vt:lpstr>
      <vt:lpstr>y_GD</vt:lpstr>
      <vt:lpstr>y_ls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Altahhan</dc:creator>
  <cp:lastModifiedBy>Abdulrahman Altahhan</cp:lastModifiedBy>
  <dcterms:created xsi:type="dcterms:W3CDTF">2021-06-01T07:43:58Z</dcterms:created>
  <dcterms:modified xsi:type="dcterms:W3CDTF">2021-06-01T15:52:53Z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0x010100749D9C81E838C74F985EEA30EC4BB229</vt:lpwstr>
  </property>
</Properties>
</file>