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csaalt\OneDrive - University of Leeds\Downloads\Resources for ODL MSc\Data Science Contents\unit3\"/>
    </mc:Choice>
  </mc:AlternateContent>
  <bookViews>
    <workbookView xWindow="0" yWindow="0" windowWidth="28800" windowHeight="12345"/>
  </bookViews>
  <sheets>
    <sheet name="Multivariate LR x3 is redundant" sheetId="2" r:id="rId1"/>
  </sheets>
  <definedNames>
    <definedName name="a">'Multivariate LR x3 is redundant'!$D$7</definedName>
    <definedName name="b">'Multivariate LR x3 is redundant'!$E$7</definedName>
    <definedName name="d">'Multivariate LR x3 is redundant'!$F$7</definedName>
    <definedName name="e">'Multivariate LR x3 is redundant'!$G$7</definedName>
    <definedName name="eta">'Multivariate LR x3 is redundant'!$Q$43</definedName>
    <definedName name="etaN">'Multivariate LR x3 is redundant'!$R$43</definedName>
    <definedName name="F">'Multivariate LR x3 is redundant'!$U$11:$X$30</definedName>
    <definedName name="F__1">'Multivariate LR x3 is redundant'!$U$11:$X$15</definedName>
    <definedName name="F__2">'Multivariate LR x3 is redundant'!$U$16:$X$20</definedName>
    <definedName name="F__3">'Multivariate LR x3 is redundant'!$U$21:$X$25</definedName>
    <definedName name="F__4">'Multivariate LR x3 is redundant'!$U$26:$X$30</definedName>
    <definedName name="f_0">'Multivariate LR x3 is redundant'!$U$11:$U$30</definedName>
    <definedName name="f_1">'Multivariate LR x3 is redundant'!$V$11:$V$30</definedName>
    <definedName name="f_2">'Multivariate LR x3 is redundant'!$W$11:$W$30</definedName>
    <definedName name="f_3">'Multivariate LR x3 is redundant'!$X$11:$X$30</definedName>
    <definedName name="FT">'Multivariate LR x3 is redundant'!#REF!</definedName>
    <definedName name="FTF">'Multivariate LR x3 is redundant'!#REF!</definedName>
    <definedName name="FTF_1">'Multivariate LR x3 is redundant'!#REF!</definedName>
    <definedName name="FTt">'Multivariate LR x3 is redundant'!#REF!</definedName>
    <definedName name="id">'Multivariate LR x3 is redundant'!$C$11:$C$30</definedName>
    <definedName name="N">'Multivariate LR x3 is redundant'!$C$30</definedName>
    <definedName name="noise_0">'Multivariate LR x3 is redundant'!$D$9</definedName>
    <definedName name="noise_1">'Multivariate LR x3 is redundant'!$E$9</definedName>
    <definedName name="noise_2">'Multivariate LR x3 is redundant'!$F$9</definedName>
    <definedName name="noise_3">'Multivariate LR x3 is redundant'!$G$9</definedName>
    <definedName name="noise_t">'Multivariate LR x3 is redundant'!$H$9</definedName>
    <definedName name="t">'Multivariate LR x3 is redundant'!$H$11:$H$30</definedName>
    <definedName name="wf_gd">'Multivariate LR x3 is redundant'!$U$108:$X$108</definedName>
    <definedName name="wf_ls">'Multivariate LR x3 is redundant'!$V$37:$V$40</definedName>
    <definedName name="wx_gd">'Multivariate LR x3 is redundant'!$K$108:$M$108</definedName>
    <definedName name="wx_ls">'Multivariate LR x3 is redundant'!$M$37:$M$39</definedName>
    <definedName name="wxx_gd">'Multivariate LR x3 is redundant'!$D$108:$G$108</definedName>
    <definedName name="wxx_ls">'Multivariate LR x3 is redundant'!$E$37:$E$40</definedName>
    <definedName name="X">'Multivariate LR x3 is redundant'!$D$11:$F$30</definedName>
    <definedName name="X_">'Multivariate LR x3 is redundant'!$D$11:$G$30</definedName>
    <definedName name="x_0">'Multivariate LR x3 is redundant'!$D$11:$D$30</definedName>
    <definedName name="x_1">'Multivariate LR x3 is redundant'!$E$11:$E$30</definedName>
    <definedName name="x_2">'Multivariate LR x3 is redundant'!$F$11:$F$30</definedName>
    <definedName name="x_3">'Multivariate LR x3 is redundant'!$G$11:$G$30</definedName>
    <definedName name="yf_GD">'Multivariate LR x3 is redundant'!$Z$11:$Z$30</definedName>
    <definedName name="yf_LS">'Multivariate LR x3 is redundant'!$Y$11:$Y$30</definedName>
    <definedName name="yx_GD">'Multivariate LR x3 is redundant'!$L$11:$L$30</definedName>
    <definedName name="yx_LS">'Multivariate LR x3 is redundant'!$K$11:$K$30</definedName>
    <definedName name="yxx_GD">'Multivariate LR x3 is redundant'!$J$11:$J$30</definedName>
    <definedName name="yxx_LS">'Multivariate LR x3 is redundant'!$I$11:$I$30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2" l="1" a="1"/>
  <c r="H12" i="2" s="1"/>
  <c r="X11" i="2" a="1"/>
  <c r="X12" i="2" s="1"/>
  <c r="AA11" i="2" a="1"/>
  <c r="H27" i="2" l="1"/>
  <c r="H19" i="2"/>
  <c r="H11" i="2"/>
  <c r="H26" i="2"/>
  <c r="H18" i="2"/>
  <c r="H25" i="2"/>
  <c r="H24" i="2"/>
  <c r="H29" i="2"/>
  <c r="H21" i="2"/>
  <c r="H13" i="2"/>
  <c r="H17" i="2"/>
  <c r="H16" i="2"/>
  <c r="H23" i="2"/>
  <c r="H15" i="2"/>
  <c r="H30" i="2"/>
  <c r="H22" i="2"/>
  <c r="H14" i="2"/>
  <c r="H28" i="2"/>
  <c r="H20" i="2"/>
  <c r="X27" i="2"/>
  <c r="X19" i="2"/>
  <c r="X11" i="2"/>
  <c r="X26" i="2"/>
  <c r="X18" i="2"/>
  <c r="X25" i="2"/>
  <c r="X17" i="2"/>
  <c r="X24" i="2"/>
  <c r="X16" i="2"/>
  <c r="X23" i="2"/>
  <c r="X15" i="2"/>
  <c r="X30" i="2"/>
  <c r="X22" i="2"/>
  <c r="X14" i="2"/>
  <c r="X29" i="2"/>
  <c r="X21" i="2"/>
  <c r="X13" i="2"/>
  <c r="X28" i="2"/>
  <c r="X20" i="2"/>
  <c r="W11" i="2" l="1" a="1"/>
  <c r="V11" i="2" a="1"/>
  <c r="W12" i="2" l="1"/>
  <c r="W20" i="2"/>
  <c r="W28" i="2"/>
  <c r="W13" i="2"/>
  <c r="W21" i="2"/>
  <c r="W29" i="2"/>
  <c r="W14" i="2"/>
  <c r="W22" i="2"/>
  <c r="W15" i="2"/>
  <c r="W23" i="2"/>
  <c r="W16" i="2"/>
  <c r="W24" i="2"/>
  <c r="W17" i="2"/>
  <c r="W25" i="2"/>
  <c r="W30" i="2"/>
  <c r="W18" i="2"/>
  <c r="W26" i="2"/>
  <c r="W11" i="2"/>
  <c r="W19" i="2"/>
  <c r="W27" i="2"/>
  <c r="V16" i="2"/>
  <c r="V24" i="2"/>
  <c r="V17" i="2"/>
  <c r="V25" i="2"/>
  <c r="V18" i="2"/>
  <c r="V26" i="2"/>
  <c r="V11" i="2"/>
  <c r="V19" i="2"/>
  <c r="V27" i="2"/>
  <c r="V12" i="2"/>
  <c r="V20" i="2"/>
  <c r="V28" i="2"/>
  <c r="V13" i="2"/>
  <c r="V21" i="2"/>
  <c r="V29" i="2"/>
  <c r="V14" i="2"/>
  <c r="V22" i="2"/>
  <c r="V30" i="2"/>
  <c r="V15" i="2"/>
  <c r="V23" i="2"/>
  <c r="K7" i="2"/>
  <c r="J7" i="2"/>
  <c r="J6" i="2"/>
  <c r="E6" i="2"/>
  <c r="F6" i="2"/>
  <c r="G6" i="2"/>
  <c r="R43" i="2" l="1"/>
  <c r="U46" i="2" s="1" a="1"/>
  <c r="U46" i="2" l="1"/>
  <c r="V46" i="2"/>
  <c r="W46" i="2"/>
  <c r="X46" i="2"/>
  <c r="L7" i="2"/>
  <c r="K6" i="2"/>
  <c r="L6" i="2"/>
  <c r="L5" i="2"/>
  <c r="J5" i="2"/>
  <c r="K5" i="2"/>
  <c r="K46" i="2" l="1" a="1"/>
  <c r="D46" i="2" a="1"/>
  <c r="L46" i="2" l="1"/>
  <c r="M46" i="2"/>
  <c r="K46" i="2"/>
  <c r="D46" i="2"/>
  <c r="G46" i="2"/>
  <c r="E46" i="2"/>
  <c r="F46" i="2"/>
  <c r="K47" i="2" l="1" a="1"/>
  <c r="K47" i="2" s="1"/>
  <c r="D47" i="2" a="1"/>
  <c r="U47" i="2" a="1"/>
  <c r="M47" i="2" l="1"/>
  <c r="L47" i="2"/>
  <c r="D47" i="2"/>
  <c r="E47" i="2"/>
  <c r="F47" i="2"/>
  <c r="G47" i="2"/>
  <c r="U47" i="2"/>
  <c r="V47" i="2"/>
  <c r="W47" i="2"/>
  <c r="X47" i="2"/>
  <c r="K48" i="2" l="1" a="1"/>
  <c r="K48" i="2" s="1"/>
  <c r="D48" i="2" a="1"/>
  <c r="U48" i="2" a="1"/>
  <c r="M48" i="2" l="1"/>
  <c r="L48" i="2"/>
  <c r="F48" i="2"/>
  <c r="G48" i="2"/>
  <c r="E48" i="2"/>
  <c r="D48" i="2"/>
  <c r="W48" i="2"/>
  <c r="X48" i="2"/>
  <c r="U48" i="2"/>
  <c r="V48" i="2"/>
  <c r="K49" i="2" l="1" a="1"/>
  <c r="K49" i="2" s="1"/>
  <c r="D49" i="2" a="1"/>
  <c r="U49" i="2" a="1"/>
  <c r="U49" i="2" s="1"/>
  <c r="M49" i="2" l="1"/>
  <c r="L49" i="2"/>
  <c r="D49" i="2"/>
  <c r="F49" i="2"/>
  <c r="E49" i="2"/>
  <c r="G49" i="2"/>
  <c r="X49" i="2"/>
  <c r="W49" i="2"/>
  <c r="V49" i="2"/>
  <c r="K50" i="2" l="1" a="1"/>
  <c r="L50" i="2" s="1"/>
  <c r="U50" i="2" a="1"/>
  <c r="V50" i="2" s="1"/>
  <c r="D50" i="2" a="1"/>
  <c r="D50" i="2" s="1"/>
  <c r="M50" i="2" l="1"/>
  <c r="K50" i="2"/>
  <c r="U50" i="2"/>
  <c r="X50" i="2"/>
  <c r="W50" i="2"/>
  <c r="G50" i="2"/>
  <c r="F50" i="2"/>
  <c r="E50" i="2"/>
  <c r="K51" i="2" l="1" a="1"/>
  <c r="L51" i="2" s="1"/>
  <c r="U51" i="2" a="1"/>
  <c r="V51" i="2" s="1"/>
  <c r="D51" i="2" a="1"/>
  <c r="D51" i="2" s="1"/>
  <c r="M51" i="2" l="1"/>
  <c r="K51" i="2"/>
  <c r="W51" i="2"/>
  <c r="U51" i="2"/>
  <c r="X51" i="2"/>
  <c r="G51" i="2"/>
  <c r="E51" i="2"/>
  <c r="F51" i="2"/>
  <c r="K52" i="2" l="1" a="1"/>
  <c r="M52" i="2" s="1"/>
  <c r="U52" i="2" a="1"/>
  <c r="X52" i="2" s="1"/>
  <c r="D52" i="2" a="1"/>
  <c r="G52" i="2" s="1"/>
  <c r="L52" i="2" l="1"/>
  <c r="K52" i="2"/>
  <c r="V52" i="2"/>
  <c r="U52" i="2"/>
  <c r="W52" i="2"/>
  <c r="F52" i="2"/>
  <c r="D52" i="2"/>
  <c r="E52" i="2"/>
  <c r="K53" i="2" l="1" a="1"/>
  <c r="L53" i="2" s="1"/>
  <c r="U53" i="2" a="1"/>
  <c r="V53" i="2" s="1"/>
  <c r="D53" i="2" a="1"/>
  <c r="E53" i="2" s="1"/>
  <c r="K53" i="2" l="1"/>
  <c r="M53" i="2"/>
  <c r="U53" i="2"/>
  <c r="X53" i="2"/>
  <c r="W53" i="2"/>
  <c r="F53" i="2"/>
  <c r="G53" i="2"/>
  <c r="D53" i="2"/>
  <c r="K54" i="2" l="1" a="1"/>
  <c r="K54" i="2" s="1"/>
  <c r="U54" i="2" a="1"/>
  <c r="V54" i="2" s="1"/>
  <c r="D54" i="2" a="1"/>
  <c r="D54" i="2" s="1"/>
  <c r="L54" i="2" l="1"/>
  <c r="M54" i="2"/>
  <c r="U54" i="2"/>
  <c r="W54" i="2"/>
  <c r="X54" i="2"/>
  <c r="G54" i="2"/>
  <c r="E54" i="2"/>
  <c r="F54" i="2"/>
  <c r="K55" i="2" l="1" a="1"/>
  <c r="M55" i="2" s="1"/>
  <c r="U55" i="2" a="1"/>
  <c r="U55" i="2" s="1"/>
  <c r="D55" i="2" a="1"/>
  <c r="F55" i="2" s="1"/>
  <c r="L55" i="2" l="1"/>
  <c r="K55" i="2"/>
  <c r="W55" i="2"/>
  <c r="V55" i="2"/>
  <c r="X55" i="2"/>
  <c r="D55" i="2"/>
  <c r="E55" i="2"/>
  <c r="G55" i="2"/>
  <c r="K56" i="2" l="1" a="1"/>
  <c r="K56" i="2" s="1"/>
  <c r="U56" i="2" a="1"/>
  <c r="W56" i="2" s="1"/>
  <c r="D56" i="2" a="1"/>
  <c r="F56" i="2" s="1"/>
  <c r="L56" i="2" l="1"/>
  <c r="M56" i="2"/>
  <c r="X56" i="2"/>
  <c r="V56" i="2"/>
  <c r="U56" i="2"/>
  <c r="E56" i="2"/>
  <c r="G56" i="2"/>
  <c r="D56" i="2"/>
  <c r="K57" i="2" l="1" a="1"/>
  <c r="K57" i="2" s="1"/>
  <c r="U57" i="2" a="1"/>
  <c r="U57" i="2" s="1"/>
  <c r="D57" i="2" a="1"/>
  <c r="G57" i="2" s="1"/>
  <c r="L57" i="2" l="1"/>
  <c r="M57" i="2"/>
  <c r="W57" i="2"/>
  <c r="X57" i="2"/>
  <c r="V57" i="2"/>
  <c r="D57" i="2"/>
  <c r="F57" i="2"/>
  <c r="E57" i="2"/>
  <c r="K58" i="2" l="1" a="1"/>
  <c r="M58" i="2" s="1"/>
  <c r="U58" i="2" a="1"/>
  <c r="U58" i="2" s="1"/>
  <c r="D58" i="2" a="1"/>
  <c r="E58" i="2" s="1"/>
  <c r="K58" i="2" l="1"/>
  <c r="L58" i="2"/>
  <c r="V58" i="2"/>
  <c r="W58" i="2"/>
  <c r="X58" i="2"/>
  <c r="D58" i="2"/>
  <c r="F58" i="2"/>
  <c r="G58" i="2"/>
  <c r="K59" i="2" l="1" a="1"/>
  <c r="L59" i="2" s="1"/>
  <c r="U59" i="2" a="1"/>
  <c r="X59" i="2" s="1"/>
  <c r="D59" i="2" a="1"/>
  <c r="K59" i="2" l="1"/>
  <c r="M59" i="2"/>
  <c r="V59" i="2"/>
  <c r="W59" i="2"/>
  <c r="U59" i="2"/>
  <c r="G59" i="2"/>
  <c r="D59" i="2"/>
  <c r="E59" i="2"/>
  <c r="F59" i="2"/>
  <c r="K60" i="2" l="1" a="1"/>
  <c r="K60" i="2" s="1"/>
  <c r="U60" i="2" a="1"/>
  <c r="X60" i="2" s="1"/>
  <c r="D60" i="2" a="1"/>
  <c r="E60" i="2" s="1"/>
  <c r="L60" i="2" l="1"/>
  <c r="M60" i="2"/>
  <c r="U60" i="2"/>
  <c r="V60" i="2"/>
  <c r="W60" i="2"/>
  <c r="F60" i="2"/>
  <c r="D60" i="2"/>
  <c r="G60" i="2"/>
  <c r="K61" i="2" l="1" a="1"/>
  <c r="K61" i="2" s="1"/>
  <c r="U61" i="2" a="1"/>
  <c r="D61" i="2" a="1"/>
  <c r="M61" i="2" l="1"/>
  <c r="L61" i="2"/>
  <c r="V61" i="2"/>
  <c r="U61" i="2"/>
  <c r="W61" i="2"/>
  <c r="X61" i="2"/>
  <c r="F61" i="2"/>
  <c r="D61" i="2"/>
  <c r="G61" i="2"/>
  <c r="E61" i="2"/>
  <c r="K62" i="2" l="1" a="1"/>
  <c r="L62" i="2" s="1"/>
  <c r="U62" i="2" a="1"/>
  <c r="D62" i="2" a="1"/>
  <c r="M62" i="2" l="1"/>
  <c r="K62" i="2"/>
  <c r="V62" i="2"/>
  <c r="U62" i="2"/>
  <c r="X62" i="2"/>
  <c r="W62" i="2"/>
  <c r="G62" i="2"/>
  <c r="E62" i="2"/>
  <c r="F62" i="2"/>
  <c r="D62" i="2"/>
  <c r="K63" i="2" l="1" a="1"/>
  <c r="M63" i="2" s="1"/>
  <c r="U63" i="2" a="1"/>
  <c r="W63" i="2" s="1"/>
  <c r="D63" i="2" a="1"/>
  <c r="E63" i="2" s="1"/>
  <c r="K63" i="2" l="1"/>
  <c r="L63" i="2"/>
  <c r="X63" i="2"/>
  <c r="V63" i="2"/>
  <c r="U63" i="2"/>
  <c r="D63" i="2"/>
  <c r="G63" i="2"/>
  <c r="F63" i="2"/>
  <c r="K64" i="2" l="1" a="1"/>
  <c r="K64" i="2" s="1"/>
  <c r="U64" i="2" a="1"/>
  <c r="W64" i="2" s="1"/>
  <c r="D64" i="2" a="1"/>
  <c r="F64" i="2" s="1"/>
  <c r="M64" i="2" l="1"/>
  <c r="L64" i="2"/>
  <c r="V64" i="2"/>
  <c r="X64" i="2"/>
  <c r="U64" i="2"/>
  <c r="D64" i="2"/>
  <c r="E64" i="2"/>
  <c r="G64" i="2"/>
  <c r="K65" i="2" l="1" a="1"/>
  <c r="L65" i="2" s="1"/>
  <c r="U65" i="2" a="1"/>
  <c r="U65" i="2" s="1"/>
  <c r="D65" i="2" a="1"/>
  <c r="F65" i="2" s="1"/>
  <c r="M65" i="2" l="1"/>
  <c r="K65" i="2"/>
  <c r="W65" i="2"/>
  <c r="V65" i="2"/>
  <c r="X65" i="2"/>
  <c r="G65" i="2"/>
  <c r="E65" i="2"/>
  <c r="D65" i="2"/>
  <c r="K66" i="2" l="1" a="1"/>
  <c r="K66" i="2" s="1"/>
  <c r="U66" i="2" a="1"/>
  <c r="U66" i="2" s="1"/>
  <c r="D66" i="2" a="1"/>
  <c r="E66" i="2" s="1"/>
  <c r="M66" i="2" l="1"/>
  <c r="L66" i="2"/>
  <c r="W66" i="2"/>
  <c r="D66" i="2"/>
  <c r="F66" i="2"/>
  <c r="V66" i="2"/>
  <c r="X66" i="2"/>
  <c r="G66" i="2"/>
  <c r="K67" i="2" l="1" a="1"/>
  <c r="K67" i="2" s="1"/>
  <c r="D67" i="2" a="1"/>
  <c r="G67" i="2" s="1"/>
  <c r="U67" i="2" a="1"/>
  <c r="X67" i="2" s="1"/>
  <c r="M67" i="2" l="1"/>
  <c r="L67" i="2"/>
  <c r="E67" i="2"/>
  <c r="F67" i="2"/>
  <c r="D67" i="2"/>
  <c r="V67" i="2"/>
  <c r="U67" i="2"/>
  <c r="W67" i="2"/>
  <c r="K68" i="2" l="1" a="1"/>
  <c r="K68" i="2" s="1"/>
  <c r="U68" i="2" a="1"/>
  <c r="U68" i="2" s="1"/>
  <c r="D68" i="2" a="1"/>
  <c r="E68" i="2" s="1"/>
  <c r="M68" i="2" l="1"/>
  <c r="L68" i="2"/>
  <c r="V68" i="2"/>
  <c r="X68" i="2"/>
  <c r="W68" i="2"/>
  <c r="D68" i="2"/>
  <c r="G68" i="2"/>
  <c r="F68" i="2"/>
  <c r="K69" i="2" l="1" a="1"/>
  <c r="L69" i="2" s="1"/>
  <c r="U69" i="2" a="1"/>
  <c r="V69" i="2" s="1"/>
  <c r="D69" i="2" a="1"/>
  <c r="E69" i="2" s="1"/>
  <c r="M69" i="2" l="1"/>
  <c r="K69" i="2"/>
  <c r="K70" i="2" s="1" a="1"/>
  <c r="U69" i="2"/>
  <c r="X69" i="2"/>
  <c r="W69" i="2"/>
  <c r="D69" i="2"/>
  <c r="G69" i="2"/>
  <c r="F69" i="2"/>
  <c r="U70" i="2" l="1" a="1"/>
  <c r="U70" i="2" s="1"/>
  <c r="D70" i="2" a="1"/>
  <c r="F70" i="2" s="1"/>
  <c r="M70" i="2"/>
  <c r="K70" i="2"/>
  <c r="L70" i="2"/>
  <c r="X70" i="2" l="1"/>
  <c r="V70" i="2"/>
  <c r="W70" i="2"/>
  <c r="G70" i="2"/>
  <c r="E70" i="2"/>
  <c r="D70" i="2"/>
  <c r="D71" i="2" s="1" a="1"/>
  <c r="F71" i="2" s="1"/>
  <c r="K71" i="2" a="1"/>
  <c r="U71" i="2" a="1"/>
  <c r="U71" i="2" s="1"/>
  <c r="K71" i="2" l="1"/>
  <c r="M71" i="2"/>
  <c r="L71" i="2"/>
  <c r="W71" i="2"/>
  <c r="X71" i="2"/>
  <c r="V71" i="2"/>
  <c r="D71" i="2"/>
  <c r="E71" i="2"/>
  <c r="G71" i="2"/>
  <c r="K72" i="2" l="1" a="1"/>
  <c r="U72" i="2" a="1"/>
  <c r="V72" i="2" s="1"/>
  <c r="D72" i="2" a="1"/>
  <c r="F72" i="2" s="1"/>
  <c r="M72" i="2" l="1"/>
  <c r="K72" i="2"/>
  <c r="L72" i="2"/>
  <c r="X72" i="2"/>
  <c r="W72" i="2"/>
  <c r="U72" i="2"/>
  <c r="G72" i="2"/>
  <c r="D72" i="2"/>
  <c r="E72" i="2"/>
  <c r="K73" i="2" l="1" a="1"/>
  <c r="U73" i="2" a="1"/>
  <c r="W73" i="2" s="1"/>
  <c r="D73" i="2" a="1"/>
  <c r="E73" i="2" s="1"/>
  <c r="V73" i="2" l="1"/>
  <c r="X73" i="2"/>
  <c r="U73" i="2"/>
  <c r="K73" i="2"/>
  <c r="L73" i="2"/>
  <c r="M73" i="2"/>
  <c r="F73" i="2"/>
  <c r="G73" i="2"/>
  <c r="D73" i="2"/>
  <c r="U74" i="2" l="1" a="1"/>
  <c r="X74" i="2" s="1"/>
  <c r="K74" i="2" a="1"/>
  <c r="D74" i="2" a="1"/>
  <c r="F74" i="2" s="1"/>
  <c r="V74" i="2" l="1"/>
  <c r="U74" i="2"/>
  <c r="W74" i="2"/>
  <c r="M74" i="2"/>
  <c r="L74" i="2"/>
  <c r="K74" i="2"/>
  <c r="K75" i="2" s="1" a="1"/>
  <c r="K75" i="2" s="1"/>
  <c r="D74" i="2"/>
  <c r="E74" i="2"/>
  <c r="G74" i="2"/>
  <c r="U75" i="2" l="1" a="1"/>
  <c r="X75" i="2" s="1"/>
  <c r="L75" i="2"/>
  <c r="M75" i="2"/>
  <c r="D75" i="2" a="1"/>
  <c r="G75" i="2" s="1"/>
  <c r="W75" i="2" l="1"/>
  <c r="V75" i="2"/>
  <c r="U75" i="2"/>
  <c r="K76" i="2" a="1"/>
  <c r="K76" i="2" s="1"/>
  <c r="F75" i="2"/>
  <c r="D75" i="2"/>
  <c r="E75" i="2"/>
  <c r="U76" i="2" l="1" a="1"/>
  <c r="X76" i="2" s="1"/>
  <c r="L76" i="2"/>
  <c r="M76" i="2"/>
  <c r="D76" i="2" a="1"/>
  <c r="E76" i="2" s="1"/>
  <c r="M37" i="2" a="1"/>
  <c r="M37" i="2" s="1"/>
  <c r="V37" i="2" a="1"/>
  <c r="V37" i="2" s="1"/>
  <c r="K77" i="2" l="1" a="1"/>
  <c r="L77" i="2" s="1"/>
  <c r="V76" i="2"/>
  <c r="U76" i="2"/>
  <c r="W76" i="2"/>
  <c r="G76" i="2"/>
  <c r="F76" i="2"/>
  <c r="D76" i="2"/>
  <c r="M39" i="2"/>
  <c r="M38" i="2"/>
  <c r="E37" i="2" a="1"/>
  <c r="V39" i="2"/>
  <c r="V40" i="2"/>
  <c r="V38" i="2"/>
  <c r="U77" i="2" l="1" a="1"/>
  <c r="X77" i="2" s="1"/>
  <c r="M77" i="2"/>
  <c r="K77" i="2"/>
  <c r="K28" i="2"/>
  <c r="Y26" i="2"/>
  <c r="AA26" i="2" s="1"/>
  <c r="Y29" i="2"/>
  <c r="AA29" i="2" s="1"/>
  <c r="Y25" i="2"/>
  <c r="AA25" i="2" s="1"/>
  <c r="Y27" i="2"/>
  <c r="AA27" i="2" s="1"/>
  <c r="Y21" i="2"/>
  <c r="AA21" i="2" s="1"/>
  <c r="Y23" i="2"/>
  <c r="AA23" i="2" s="1"/>
  <c r="Y22" i="2"/>
  <c r="AA22" i="2" s="1"/>
  <c r="Y19" i="2"/>
  <c r="AA19" i="2" s="1"/>
  <c r="Y20" i="2"/>
  <c r="AA20" i="2" s="1"/>
  <c r="Y24" i="2"/>
  <c r="AA24" i="2" s="1"/>
  <c r="Y30" i="2"/>
  <c r="AA30" i="2" s="1"/>
  <c r="Y28" i="2"/>
  <c r="AA28" i="2" s="1"/>
  <c r="Y11" i="2"/>
  <c r="AA11" i="2" s="1"/>
  <c r="K29" i="2"/>
  <c r="K30" i="2"/>
  <c r="K24" i="2"/>
  <c r="K25" i="2"/>
  <c r="K21" i="2"/>
  <c r="K20" i="2"/>
  <c r="K26" i="2"/>
  <c r="K27" i="2"/>
  <c r="K22" i="2"/>
  <c r="K23" i="2"/>
  <c r="K19" i="2"/>
  <c r="Y18" i="2"/>
  <c r="AA18" i="2" s="1"/>
  <c r="K12" i="2"/>
  <c r="K17" i="2"/>
  <c r="K16" i="2"/>
  <c r="K15" i="2"/>
  <c r="K14" i="2"/>
  <c r="K13" i="2"/>
  <c r="K18" i="2"/>
  <c r="K11" i="2"/>
  <c r="Y16" i="2"/>
  <c r="AA16" i="2" s="1"/>
  <c r="Y17" i="2"/>
  <c r="AA17" i="2" s="1"/>
  <c r="Y15" i="2"/>
  <c r="AA15" i="2" s="1"/>
  <c r="Y14" i="2"/>
  <c r="AA14" i="2" s="1"/>
  <c r="Y13" i="2"/>
  <c r="AA13" i="2" s="1"/>
  <c r="Y12" i="2"/>
  <c r="AA12" i="2" s="1"/>
  <c r="D77" i="2" a="1"/>
  <c r="E77" i="2" s="1"/>
  <c r="E37" i="2"/>
  <c r="E38" i="2"/>
  <c r="E39" i="2"/>
  <c r="E40" i="2"/>
  <c r="W77" i="2" l="1"/>
  <c r="U77" i="2"/>
  <c r="V77" i="2"/>
  <c r="K78" i="2" a="1"/>
  <c r="L78" i="2" s="1"/>
  <c r="I11" i="2"/>
  <c r="K32" i="2"/>
  <c r="Y32" i="2"/>
  <c r="Y31" i="2"/>
  <c r="I30" i="2"/>
  <c r="I29" i="2"/>
  <c r="I22" i="2"/>
  <c r="I26" i="2"/>
  <c r="I20" i="2"/>
  <c r="I24" i="2"/>
  <c r="I21" i="2"/>
  <c r="I25" i="2"/>
  <c r="I28" i="2"/>
  <c r="I23" i="2"/>
  <c r="I27" i="2"/>
  <c r="I12" i="2"/>
  <c r="I13" i="2"/>
  <c r="I14" i="2"/>
  <c r="I19" i="2"/>
  <c r="I15" i="2"/>
  <c r="I16" i="2"/>
  <c r="I17" i="2"/>
  <c r="I18" i="2"/>
  <c r="F77" i="2"/>
  <c r="G77" i="2"/>
  <c r="D77" i="2"/>
  <c r="U78" i="2" a="1"/>
  <c r="W78" i="2" s="1"/>
  <c r="M78" i="2" l="1"/>
  <c r="K78" i="2"/>
  <c r="I32" i="2"/>
  <c r="D78" i="2" a="1"/>
  <c r="D78" i="2" s="1"/>
  <c r="U78" i="2"/>
  <c r="V78" i="2"/>
  <c r="X78" i="2"/>
  <c r="K79" i="2" l="1" a="1"/>
  <c r="K79" i="2" s="1"/>
  <c r="G78" i="2"/>
  <c r="E78" i="2"/>
  <c r="F78" i="2"/>
  <c r="U79" i="2" a="1"/>
  <c r="M79" i="2" l="1"/>
  <c r="L79" i="2"/>
  <c r="K80" i="2" a="1"/>
  <c r="L80" i="2" s="1"/>
  <c r="D79" i="2" a="1"/>
  <c r="E79" i="2" s="1"/>
  <c r="X79" i="2"/>
  <c r="U79" i="2"/>
  <c r="W79" i="2"/>
  <c r="V79" i="2"/>
  <c r="K31" i="2" a="1"/>
  <c r="K31" i="2" s="1"/>
  <c r="M80" i="2" l="1"/>
  <c r="K80" i="2"/>
  <c r="F79" i="2"/>
  <c r="D79" i="2"/>
  <c r="G79" i="2"/>
  <c r="U80" i="2" a="1"/>
  <c r="K81" i="2" l="1" a="1"/>
  <c r="K81" i="2" s="1"/>
  <c r="D80" i="2" a="1"/>
  <c r="F80" i="2" s="1"/>
  <c r="V80" i="2"/>
  <c r="X80" i="2"/>
  <c r="U80" i="2"/>
  <c r="W80" i="2"/>
  <c r="M81" i="2" l="1"/>
  <c r="L81" i="2"/>
  <c r="E80" i="2"/>
  <c r="G80" i="2"/>
  <c r="D80" i="2"/>
  <c r="D81" i="2" a="1"/>
  <c r="F81" i="2" s="1"/>
  <c r="U81" i="2" a="1"/>
  <c r="U81" i="2" s="1"/>
  <c r="K82" i="2" l="1" a="1"/>
  <c r="L82" i="2" s="1"/>
  <c r="G81" i="2"/>
  <c r="E81" i="2"/>
  <c r="D81" i="2"/>
  <c r="X81" i="2"/>
  <c r="W81" i="2"/>
  <c r="V81" i="2"/>
  <c r="K82" i="2" l="1"/>
  <c r="M82" i="2"/>
  <c r="D82" i="2" a="1"/>
  <c r="F82" i="2" s="1"/>
  <c r="U82" i="2" a="1"/>
  <c r="U82" i="2" s="1"/>
  <c r="K83" i="2" l="1" a="1"/>
  <c r="M83" i="2" s="1"/>
  <c r="E82" i="2"/>
  <c r="G82" i="2"/>
  <c r="D82" i="2"/>
  <c r="W82" i="2"/>
  <c r="X82" i="2"/>
  <c r="V82" i="2"/>
  <c r="L83" i="2" l="1"/>
  <c r="K83" i="2"/>
  <c r="U83" i="2" a="1"/>
  <c r="U83" i="2" s="1"/>
  <c r="D83" i="2" a="1"/>
  <c r="E83" i="2" s="1"/>
  <c r="K84" i="2" l="1" a="1"/>
  <c r="L84" i="2" s="1"/>
  <c r="W83" i="2"/>
  <c r="X83" i="2"/>
  <c r="V83" i="2"/>
  <c r="F83" i="2"/>
  <c r="D83" i="2"/>
  <c r="G83" i="2"/>
  <c r="U84" i="2" l="1" a="1"/>
  <c r="V84" i="2" s="1"/>
  <c r="M84" i="2"/>
  <c r="K84" i="2"/>
  <c r="D84" i="2" a="1"/>
  <c r="D84" i="2" s="1"/>
  <c r="K85" i="2" l="1" a="1"/>
  <c r="M85" i="2" s="1"/>
  <c r="U84" i="2"/>
  <c r="X84" i="2"/>
  <c r="W84" i="2"/>
  <c r="F84" i="2"/>
  <c r="G84" i="2"/>
  <c r="E84" i="2"/>
  <c r="U85" i="2" l="1" a="1"/>
  <c r="X85" i="2" s="1"/>
  <c r="K85" i="2"/>
  <c r="L85" i="2"/>
  <c r="D85" i="2" a="1"/>
  <c r="G85" i="2" s="1"/>
  <c r="W85" i="2" l="1"/>
  <c r="U85" i="2"/>
  <c r="V85" i="2"/>
  <c r="K86" i="2" a="1"/>
  <c r="E85" i="2"/>
  <c r="D85" i="2"/>
  <c r="F85" i="2"/>
  <c r="U86" i="2" l="1" a="1"/>
  <c r="X86" i="2" s="1"/>
  <c r="L86" i="2"/>
  <c r="K86" i="2"/>
  <c r="M86" i="2"/>
  <c r="D86" i="2" a="1"/>
  <c r="E86" i="2" s="1"/>
  <c r="V86" i="2" l="1"/>
  <c r="U86" i="2"/>
  <c r="W86" i="2"/>
  <c r="K87" i="2" a="1"/>
  <c r="G86" i="2"/>
  <c r="F86" i="2"/>
  <c r="D86" i="2"/>
  <c r="U87" i="2" l="1" a="1"/>
  <c r="W87" i="2" s="1"/>
  <c r="L87" i="2"/>
  <c r="M87" i="2"/>
  <c r="K87" i="2"/>
  <c r="K88" i="2" s="1" a="1"/>
  <c r="M88" i="2" s="1"/>
  <c r="D87" i="2" a="1"/>
  <c r="E87" i="2" s="1"/>
  <c r="X87" i="2" l="1"/>
  <c r="V87" i="2"/>
  <c r="U87" i="2"/>
  <c r="K88" i="2"/>
  <c r="L88" i="2"/>
  <c r="G87" i="2"/>
  <c r="F87" i="2"/>
  <c r="D87" i="2"/>
  <c r="D88" i="2" s="1" a="1"/>
  <c r="E88" i="2" s="1"/>
  <c r="U88" i="2" l="1" a="1"/>
  <c r="X88" i="2" s="1"/>
  <c r="K89" i="2" a="1"/>
  <c r="L89" i="2" s="1"/>
  <c r="F88" i="2"/>
  <c r="D88" i="2"/>
  <c r="G88" i="2"/>
  <c r="U88" i="2" l="1"/>
  <c r="W88" i="2"/>
  <c r="V88" i="2"/>
  <c r="M89" i="2"/>
  <c r="K89" i="2"/>
  <c r="K90" i="2" a="1"/>
  <c r="M90" i="2" s="1"/>
  <c r="D89" i="2" a="1"/>
  <c r="F89" i="2" s="1"/>
  <c r="U89" i="2" l="1" a="1"/>
  <c r="U89" i="2" s="1"/>
  <c r="L90" i="2"/>
  <c r="K90" i="2"/>
  <c r="D89" i="2"/>
  <c r="G89" i="2"/>
  <c r="E89" i="2"/>
  <c r="V89" i="2" l="1"/>
  <c r="W89" i="2"/>
  <c r="X89" i="2"/>
  <c r="K91" i="2" a="1"/>
  <c r="L91" i="2" s="1"/>
  <c r="D90" i="2" a="1"/>
  <c r="F90" i="2" s="1"/>
  <c r="U90" i="2" a="1"/>
  <c r="X90" i="2" s="1"/>
  <c r="M91" i="2" l="1"/>
  <c r="K91" i="2"/>
  <c r="G90" i="2"/>
  <c r="D90" i="2"/>
  <c r="E90" i="2"/>
  <c r="W90" i="2"/>
  <c r="V90" i="2"/>
  <c r="U90" i="2"/>
  <c r="K92" i="2" l="1" a="1"/>
  <c r="K92" i="2" s="1"/>
  <c r="U91" i="2" a="1"/>
  <c r="X91" i="2" s="1"/>
  <c r="D91" i="2" a="1"/>
  <c r="G91" i="2" s="1"/>
  <c r="M92" i="2" l="1"/>
  <c r="L92" i="2"/>
  <c r="U91" i="2"/>
  <c r="W91" i="2"/>
  <c r="V91" i="2"/>
  <c r="K93" i="2" a="1"/>
  <c r="M93" i="2" s="1"/>
  <c r="D91" i="2"/>
  <c r="E91" i="2"/>
  <c r="F91" i="2"/>
  <c r="D92" i="2" l="1" a="1"/>
  <c r="E92" i="2" s="1"/>
  <c r="U92" i="2" a="1"/>
  <c r="V92" i="2" s="1"/>
  <c r="K93" i="2"/>
  <c r="L93" i="2"/>
  <c r="G92" i="2" l="1"/>
  <c r="F92" i="2"/>
  <c r="D92" i="2"/>
  <c r="X92" i="2"/>
  <c r="U92" i="2"/>
  <c r="W92" i="2"/>
  <c r="K94" i="2" a="1"/>
  <c r="K94" i="2" s="1"/>
  <c r="D93" i="2" a="1"/>
  <c r="D93" i="2" s="1"/>
  <c r="U93" i="2" l="1" a="1"/>
  <c r="W93" i="2" s="1"/>
  <c r="L94" i="2"/>
  <c r="M94" i="2"/>
  <c r="E93" i="2"/>
  <c r="F93" i="2"/>
  <c r="G93" i="2"/>
  <c r="X93" i="2" l="1"/>
  <c r="V93" i="2"/>
  <c r="U93" i="2"/>
  <c r="K95" i="2" a="1"/>
  <c r="D94" i="2" a="1"/>
  <c r="D94" i="2" s="1"/>
  <c r="U94" i="2" a="1"/>
  <c r="L95" i="2" l="1"/>
  <c r="K95" i="2"/>
  <c r="M95" i="2"/>
  <c r="G94" i="2"/>
  <c r="E94" i="2"/>
  <c r="F94" i="2"/>
  <c r="W94" i="2"/>
  <c r="V94" i="2"/>
  <c r="X94" i="2"/>
  <c r="U94" i="2"/>
  <c r="D95" i="2" l="1" a="1"/>
  <c r="G95" i="2" s="1"/>
  <c r="K96" i="2" a="1"/>
  <c r="U95" i="2" a="1"/>
  <c r="X95" i="2" s="1"/>
  <c r="D95" i="2" l="1"/>
  <c r="F95" i="2"/>
  <c r="E95" i="2"/>
  <c r="M96" i="2"/>
  <c r="L96" i="2"/>
  <c r="K96" i="2"/>
  <c r="K97" i="2" s="1" a="1"/>
  <c r="U95" i="2"/>
  <c r="W95" i="2"/>
  <c r="V95" i="2"/>
  <c r="D96" i="2" l="1" a="1"/>
  <c r="D96" i="2" s="1"/>
  <c r="M97" i="2"/>
  <c r="K97" i="2"/>
  <c r="L97" i="2"/>
  <c r="U96" i="2" a="1"/>
  <c r="V96" i="2" s="1"/>
  <c r="F96" i="2" l="1"/>
  <c r="E96" i="2"/>
  <c r="G96" i="2"/>
  <c r="K98" i="2" a="1"/>
  <c r="D97" i="2" a="1"/>
  <c r="F97" i="2" s="1"/>
  <c r="U96" i="2"/>
  <c r="W96" i="2"/>
  <c r="X96" i="2"/>
  <c r="K98" i="2" l="1"/>
  <c r="M98" i="2"/>
  <c r="L98" i="2"/>
  <c r="E97" i="2"/>
  <c r="G97" i="2"/>
  <c r="D97" i="2"/>
  <c r="D98" i="2" a="1"/>
  <c r="G98" i="2" s="1"/>
  <c r="U97" i="2" a="1"/>
  <c r="X97" i="2" s="1"/>
  <c r="K99" i="2" l="1" a="1"/>
  <c r="E98" i="2"/>
  <c r="D98" i="2"/>
  <c r="F98" i="2"/>
  <c r="W97" i="2"/>
  <c r="V97" i="2"/>
  <c r="U97" i="2"/>
  <c r="K99" i="2" l="1"/>
  <c r="L99" i="2"/>
  <c r="M99" i="2"/>
  <c r="D99" i="2" a="1"/>
  <c r="U98" i="2" a="1"/>
  <c r="K100" i="2" l="1" a="1"/>
  <c r="F99" i="2"/>
  <c r="D99" i="2"/>
  <c r="E99" i="2"/>
  <c r="G99" i="2"/>
  <c r="U98" i="2"/>
  <c r="V98" i="2"/>
  <c r="W98" i="2"/>
  <c r="X98" i="2"/>
  <c r="M100" i="2" l="1"/>
  <c r="L100" i="2"/>
  <c r="K100" i="2"/>
  <c r="D100" i="2" a="1"/>
  <c r="D100" i="2" s="1"/>
  <c r="U99" i="2" a="1"/>
  <c r="K101" i="2" l="1" a="1"/>
  <c r="K101" i="2" s="1"/>
  <c r="F100" i="2"/>
  <c r="E100" i="2"/>
  <c r="G100" i="2"/>
  <c r="V99" i="2"/>
  <c r="X99" i="2"/>
  <c r="W99" i="2"/>
  <c r="U99" i="2"/>
  <c r="M101" i="2" l="1"/>
  <c r="L101" i="2"/>
  <c r="D101" i="2" a="1"/>
  <c r="D101" i="2" s="1"/>
  <c r="U100" i="2" a="1"/>
  <c r="X100" i="2" s="1"/>
  <c r="K102" i="2" l="1" a="1"/>
  <c r="M102" i="2" s="1"/>
  <c r="G101" i="2"/>
  <c r="F101" i="2"/>
  <c r="E101" i="2"/>
  <c r="V100" i="2"/>
  <c r="W100" i="2"/>
  <c r="U100" i="2"/>
  <c r="L102" i="2" l="1"/>
  <c r="K102" i="2"/>
  <c r="D102" i="2" a="1"/>
  <c r="D102" i="2" s="1"/>
  <c r="U101" i="2" a="1"/>
  <c r="X101" i="2" s="1"/>
  <c r="K103" i="2" l="1" a="1"/>
  <c r="K103" i="2" s="1"/>
  <c r="F102" i="2"/>
  <c r="G102" i="2"/>
  <c r="E102" i="2"/>
  <c r="D103" i="2" a="1"/>
  <c r="U101" i="2"/>
  <c r="V101" i="2"/>
  <c r="W101" i="2"/>
  <c r="M103" i="2" l="1"/>
  <c r="L103" i="2"/>
  <c r="K104" i="2" a="1"/>
  <c r="M104" i="2" s="1"/>
  <c r="U102" i="2" a="1"/>
  <c r="U102" i="2" s="1"/>
  <c r="E103" i="2"/>
  <c r="F103" i="2"/>
  <c r="D103" i="2"/>
  <c r="G103" i="2"/>
  <c r="L104" i="2" l="1"/>
  <c r="K104" i="2"/>
  <c r="W102" i="2"/>
  <c r="V102" i="2"/>
  <c r="X102" i="2"/>
  <c r="D104" i="2" a="1"/>
  <c r="G104" i="2" s="1"/>
  <c r="K105" i="2" l="1" a="1"/>
  <c r="M105" i="2" s="1"/>
  <c r="U103" i="2" a="1"/>
  <c r="U103" i="2" s="1"/>
  <c r="E104" i="2"/>
  <c r="D104" i="2"/>
  <c r="F104" i="2"/>
  <c r="K105" i="2" l="1"/>
  <c r="L105" i="2"/>
  <c r="W103" i="2"/>
  <c r="V103" i="2"/>
  <c r="X103" i="2"/>
  <c r="D105" i="2" a="1"/>
  <c r="K106" i="2" l="1" a="1"/>
  <c r="U104" i="2" a="1"/>
  <c r="X104" i="2" s="1"/>
  <c r="G105" i="2"/>
  <c r="F105" i="2"/>
  <c r="E105" i="2"/>
  <c r="D105" i="2"/>
  <c r="M106" i="2" l="1"/>
  <c r="K106" i="2"/>
  <c r="L106" i="2"/>
  <c r="U104" i="2"/>
  <c r="V104" i="2"/>
  <c r="W104" i="2"/>
  <c r="D106" i="2" a="1"/>
  <c r="E106" i="2" s="1"/>
  <c r="K107" i="2" l="1" a="1"/>
  <c r="U105" i="2" a="1"/>
  <c r="V105" i="2" s="1"/>
  <c r="F106" i="2"/>
  <c r="G106" i="2"/>
  <c r="D106" i="2"/>
  <c r="K107" i="2" l="1"/>
  <c r="M107" i="2"/>
  <c r="L107" i="2"/>
  <c r="U105" i="2"/>
  <c r="X105" i="2"/>
  <c r="W105" i="2"/>
  <c r="D107" i="2" a="1"/>
  <c r="F107" i="2" s="1"/>
  <c r="U106" i="2" a="1"/>
  <c r="V106" i="2" s="1"/>
  <c r="I31" i="2"/>
  <c r="K108" i="2" l="1" a="1"/>
  <c r="E107" i="2"/>
  <c r="D107" i="2"/>
  <c r="G107" i="2"/>
  <c r="U106" i="2"/>
  <c r="X106" i="2"/>
  <c r="W106" i="2"/>
  <c r="L108" i="2" l="1"/>
  <c r="M108" i="2"/>
  <c r="K108" i="2"/>
  <c r="D108" i="2" a="1"/>
  <c r="G108" i="2" s="1"/>
  <c r="U107" i="2" a="1"/>
  <c r="V107" i="2" s="1"/>
  <c r="L14" i="2" l="1"/>
  <c r="L28" i="2"/>
  <c r="L13" i="2"/>
  <c r="L22" i="2"/>
  <c r="L20" i="2"/>
  <c r="L29" i="2"/>
  <c r="L16" i="2"/>
  <c r="L15" i="2"/>
  <c r="L30" i="2"/>
  <c r="L24" i="2"/>
  <c r="L21" i="2"/>
  <c r="L23" i="2"/>
  <c r="L25" i="2"/>
  <c r="L18" i="2"/>
  <c r="L11" i="2"/>
  <c r="L12" i="2"/>
  <c r="L27" i="2"/>
  <c r="L17" i="2"/>
  <c r="L19" i="2"/>
  <c r="L26" i="2"/>
  <c r="F108" i="2"/>
  <c r="E108" i="2"/>
  <c r="D108" i="2"/>
  <c r="X107" i="2"/>
  <c r="W107" i="2"/>
  <c r="U107" i="2"/>
  <c r="L32" i="2" l="1"/>
  <c r="L31" i="2"/>
  <c r="J12" i="2"/>
  <c r="J20" i="2"/>
  <c r="J28" i="2"/>
  <c r="J27" i="2"/>
  <c r="J13" i="2"/>
  <c r="J21" i="2"/>
  <c r="J29" i="2"/>
  <c r="J14" i="2"/>
  <c r="J22" i="2"/>
  <c r="J30" i="2"/>
  <c r="J15" i="2"/>
  <c r="J23" i="2"/>
  <c r="J16" i="2"/>
  <c r="J24" i="2"/>
  <c r="J19" i="2"/>
  <c r="J17" i="2"/>
  <c r="J25" i="2"/>
  <c r="J18" i="2"/>
  <c r="J26" i="2"/>
  <c r="J11" i="2"/>
  <c r="U108" i="2" a="1"/>
  <c r="V108" i="2" s="1"/>
  <c r="J32" i="2" l="1"/>
  <c r="J31" i="2"/>
  <c r="U108" i="2"/>
  <c r="W108" i="2"/>
  <c r="X108" i="2"/>
  <c r="Z12" i="2" l="1"/>
  <c r="Z20" i="2"/>
  <c r="Z28" i="2"/>
  <c r="Z13" i="2"/>
  <c r="Z21" i="2"/>
  <c r="Z29" i="2"/>
  <c r="Z14" i="2"/>
  <c r="Z22" i="2"/>
  <c r="Z30" i="2"/>
  <c r="Z27" i="2"/>
  <c r="Z15" i="2"/>
  <c r="Z23" i="2"/>
  <c r="Z17" i="2"/>
  <c r="Z16" i="2"/>
  <c r="Z24" i="2"/>
  <c r="Z25" i="2"/>
  <c r="Z18" i="2"/>
  <c r="Z26" i="2"/>
  <c r="Z19" i="2"/>
  <c r="Z11" i="2"/>
  <c r="Z32" i="2" l="1"/>
  <c r="Z31" i="2"/>
</calcChain>
</file>

<file path=xl/sharedStrings.xml><?xml version="1.0" encoding="utf-8"?>
<sst xmlns="http://schemas.openxmlformats.org/spreadsheetml/2006/main" count="90" uniqueCount="62">
  <si>
    <t>t</t>
  </si>
  <si>
    <r>
      <t>w</t>
    </r>
    <r>
      <rPr>
        <i/>
        <vertAlign val="subscript"/>
        <sz val="20"/>
        <color theme="1"/>
        <rFont val="Palatino Linotype"/>
        <family val="1"/>
      </rPr>
      <t>0</t>
    </r>
  </si>
  <si>
    <r>
      <t>w</t>
    </r>
    <r>
      <rPr>
        <i/>
        <vertAlign val="subscript"/>
        <sz val="20"/>
        <color theme="1"/>
        <rFont val="Palatino Linotype"/>
        <family val="1"/>
      </rPr>
      <t>1</t>
    </r>
  </si>
  <si>
    <r>
      <rPr>
        <b/>
        <sz val="24"/>
        <color theme="1"/>
        <rFont val="Palatino Linotype"/>
        <family val="1"/>
      </rPr>
      <t>w</t>
    </r>
    <r>
      <rPr>
        <sz val="20"/>
        <color theme="1"/>
        <rFont val="Palatino Linotype"/>
        <family val="1"/>
      </rPr>
      <t>*</t>
    </r>
  </si>
  <si>
    <t>x1</t>
  </si>
  <si>
    <t>x2</t>
  </si>
  <si>
    <r>
      <t>x</t>
    </r>
    <r>
      <rPr>
        <i/>
        <vertAlign val="subscript"/>
        <sz val="20"/>
        <color theme="1"/>
        <rFont val="Palatino Linotype"/>
        <family val="1"/>
      </rPr>
      <t>0</t>
    </r>
  </si>
  <si>
    <r>
      <t>x</t>
    </r>
    <r>
      <rPr>
        <i/>
        <vertAlign val="subscript"/>
        <sz val="20"/>
        <color theme="1"/>
        <rFont val="Palatino Linotype"/>
        <family val="1"/>
      </rPr>
      <t>1</t>
    </r>
  </si>
  <si>
    <r>
      <t>x</t>
    </r>
    <r>
      <rPr>
        <i/>
        <vertAlign val="subscript"/>
        <sz val="20"/>
        <color theme="1"/>
        <rFont val="Palatino Linotype"/>
        <family val="1"/>
      </rPr>
      <t>2</t>
    </r>
  </si>
  <si>
    <t>noise</t>
  </si>
  <si>
    <r>
      <t>x</t>
    </r>
    <r>
      <rPr>
        <i/>
        <vertAlign val="subscript"/>
        <sz val="20"/>
        <color theme="1"/>
        <rFont val="Palatino Linotype"/>
        <family val="1"/>
      </rPr>
      <t>3</t>
    </r>
    <r>
      <rPr>
        <sz val="10"/>
        <color theme="1"/>
        <rFont val="Arial"/>
        <family val="2"/>
      </rPr>
      <t/>
    </r>
  </si>
  <si>
    <r>
      <t>ϕ</t>
    </r>
    <r>
      <rPr>
        <vertAlign val="subscript"/>
        <sz val="20"/>
        <color theme="1"/>
        <rFont val="Palatino Linotype"/>
        <family val="1"/>
      </rPr>
      <t>1</t>
    </r>
  </si>
  <si>
    <r>
      <t>ϕ</t>
    </r>
    <r>
      <rPr>
        <vertAlign val="subscript"/>
        <sz val="20"/>
        <color theme="1"/>
        <rFont val="Palatino Linotype"/>
        <family val="1"/>
      </rPr>
      <t>2</t>
    </r>
    <r>
      <rPr>
        <sz val="10"/>
        <color theme="1"/>
        <rFont val="Arial"/>
        <family val="2"/>
      </rPr>
      <t/>
    </r>
  </si>
  <si>
    <t>x3</t>
  </si>
  <si>
    <r>
      <t>ϕ</t>
    </r>
    <r>
      <rPr>
        <vertAlign val="subscript"/>
        <sz val="20"/>
        <color theme="1"/>
        <rFont val="Palatino Linotype"/>
        <family val="1"/>
      </rPr>
      <t>0</t>
    </r>
    <r>
      <rPr>
        <sz val="10"/>
        <color theme="1"/>
        <rFont val="Arial"/>
        <family val="2"/>
      </rPr>
      <t/>
    </r>
  </si>
  <si>
    <r>
      <t>ϕ</t>
    </r>
    <r>
      <rPr>
        <vertAlign val="subscript"/>
        <sz val="20"/>
        <color theme="1"/>
        <rFont val="Palatino Linotype"/>
        <family val="1"/>
      </rPr>
      <t>3</t>
    </r>
  </si>
  <si>
    <r>
      <t>Least Squares             w</t>
    </r>
    <r>
      <rPr>
        <sz val="22"/>
        <color theme="1"/>
        <rFont val="Palatino Linotype"/>
        <family val="1"/>
      </rPr>
      <t>*=(</t>
    </r>
    <r>
      <rPr>
        <b/>
        <sz val="22"/>
        <color theme="1"/>
        <rFont val="Palatino Linotype"/>
        <family val="1"/>
      </rPr>
      <t>Φ</t>
    </r>
    <r>
      <rPr>
        <vertAlign val="superscript"/>
        <sz val="22"/>
        <color theme="1"/>
        <rFont val="Palatino Linotype"/>
        <family val="1"/>
      </rPr>
      <t>⊤</t>
    </r>
    <r>
      <rPr>
        <b/>
        <sz val="22"/>
        <color theme="1"/>
        <rFont val="Palatino Linotype"/>
        <family val="1"/>
      </rPr>
      <t>Φ</t>
    </r>
    <r>
      <rPr>
        <sz val="22"/>
        <color theme="1"/>
        <rFont val="Palatino Linotype"/>
        <family val="1"/>
      </rPr>
      <t>)</t>
    </r>
    <r>
      <rPr>
        <vertAlign val="superscript"/>
        <sz val="22"/>
        <color theme="1"/>
        <rFont val="Palatino Linotype"/>
        <family val="1"/>
      </rPr>
      <t>-1</t>
    </r>
    <r>
      <rPr>
        <sz val="22"/>
        <color theme="1"/>
        <rFont val="Palatino Linotype"/>
        <family val="1"/>
      </rPr>
      <t>(</t>
    </r>
    <r>
      <rPr>
        <b/>
        <sz val="22"/>
        <color theme="1"/>
        <rFont val="Palatino Linotype"/>
        <family val="1"/>
      </rPr>
      <t>Φ</t>
    </r>
    <r>
      <rPr>
        <b/>
        <vertAlign val="superscript"/>
        <sz val="22"/>
        <color theme="1"/>
        <rFont val="Palatino Linotype"/>
        <family val="1"/>
      </rPr>
      <t>T</t>
    </r>
    <r>
      <rPr>
        <b/>
        <sz val="22"/>
        <color theme="1"/>
        <rFont val="Palatino Linotype"/>
        <family val="1"/>
      </rPr>
      <t>t</t>
    </r>
    <r>
      <rPr>
        <sz val="22"/>
        <color theme="1"/>
        <rFont val="Palatino Linotype"/>
        <family val="1"/>
      </rPr>
      <t>)</t>
    </r>
  </si>
  <si>
    <r>
      <t>w</t>
    </r>
    <r>
      <rPr>
        <i/>
        <vertAlign val="subscript"/>
        <sz val="20"/>
        <color theme="1"/>
        <rFont val="Palatino Linotype"/>
        <family val="1"/>
      </rPr>
      <t>2</t>
    </r>
    <r>
      <rPr>
        <sz val="10"/>
        <color theme="1"/>
        <rFont val="Arial"/>
        <family val="2"/>
      </rPr>
      <t/>
    </r>
  </si>
  <si>
    <r>
      <t>w</t>
    </r>
    <r>
      <rPr>
        <i/>
        <vertAlign val="subscript"/>
        <sz val="20"/>
        <color theme="1"/>
        <rFont val="Palatino Linotype"/>
        <family val="1"/>
      </rPr>
      <t>3</t>
    </r>
    <r>
      <rPr>
        <sz val="10"/>
        <color theme="1"/>
        <rFont val="Arial"/>
        <family val="2"/>
      </rPr>
      <t/>
    </r>
  </si>
  <si>
    <t>η</t>
  </si>
  <si>
    <r>
      <t>η/</t>
    </r>
    <r>
      <rPr>
        <vertAlign val="subscript"/>
        <sz val="22"/>
        <color theme="1"/>
        <rFont val="Palatino Linotype"/>
        <family val="1"/>
      </rPr>
      <t>N</t>
    </r>
  </si>
  <si>
    <r>
      <t>y</t>
    </r>
    <r>
      <rPr>
        <i/>
        <vertAlign val="subscript"/>
        <sz val="20"/>
        <color theme="1"/>
        <rFont val="Palatino Linotype"/>
        <family val="1"/>
      </rPr>
      <t>ϕ, LS</t>
    </r>
  </si>
  <si>
    <r>
      <t>y</t>
    </r>
    <r>
      <rPr>
        <i/>
        <vertAlign val="subscript"/>
        <sz val="20"/>
        <color theme="1"/>
        <rFont val="Palatino Linotype"/>
        <family val="1"/>
      </rPr>
      <t>ϕ,GD</t>
    </r>
  </si>
  <si>
    <r>
      <t>y</t>
    </r>
    <r>
      <rPr>
        <i/>
        <vertAlign val="subscript"/>
        <sz val="20"/>
        <color theme="1"/>
        <rFont val="Palatino Linotype"/>
        <family val="1"/>
      </rPr>
      <t>x, LS</t>
    </r>
  </si>
  <si>
    <r>
      <t>y</t>
    </r>
    <r>
      <rPr>
        <i/>
        <vertAlign val="subscript"/>
        <sz val="20"/>
        <color theme="1"/>
        <rFont val="Palatino Linotype"/>
        <family val="1"/>
      </rPr>
      <t>x,GD</t>
    </r>
  </si>
  <si>
    <t>Loss with feature mapping</t>
  </si>
  <si>
    <t>Loss without feature mapping</t>
  </si>
  <si>
    <t>Visualisation might or might not reveal the relationship between the attributes (depending on the noise, change the noise for x1 and see the effect). Therefore, we use correlation to reveal such relationships.</t>
  </si>
  <si>
    <t>The features solved the issue of non-linearity and mapped the non-linear input space into a linear one. The difficulty is how to choose the best feature mapping in such fixed basis setting, when we use adaptive features such as neural networks hidden layer this is done automatically for us</t>
  </si>
  <si>
    <t>Solu. based on x1, x2, x3</t>
  </si>
  <si>
    <r>
      <t>y</t>
    </r>
    <r>
      <rPr>
        <i/>
        <vertAlign val="subscript"/>
        <sz val="20"/>
        <color theme="1"/>
        <rFont val="Palatino Linotype"/>
        <family val="1"/>
      </rPr>
      <t>x_,GD</t>
    </r>
  </si>
  <si>
    <r>
      <t>y</t>
    </r>
    <r>
      <rPr>
        <i/>
        <vertAlign val="subscript"/>
        <sz val="20"/>
        <color theme="1"/>
        <rFont val="Palatino Linotype"/>
        <family val="1"/>
      </rPr>
      <t>x_, LS</t>
    </r>
  </si>
  <si>
    <r>
      <t>Solutions using attributes x</t>
    </r>
    <r>
      <rPr>
        <vertAlign val="subscript"/>
        <sz val="28"/>
        <color theme="7" tint="-0.499984740745262"/>
        <rFont val="Palatino Linotype"/>
        <family val="1"/>
      </rPr>
      <t>0</t>
    </r>
    <r>
      <rPr>
        <sz val="28"/>
        <color theme="7" tint="-0.499984740745262"/>
        <rFont val="Palatino Linotype"/>
        <family val="1"/>
      </rPr>
      <t>, x</t>
    </r>
    <r>
      <rPr>
        <vertAlign val="subscript"/>
        <sz val="28"/>
        <color theme="7" tint="-0.499984740745262"/>
        <rFont val="Palatino Linotype"/>
        <family val="1"/>
      </rPr>
      <t>1</t>
    </r>
    <r>
      <rPr>
        <sz val="28"/>
        <color theme="7" tint="-0.499984740745262"/>
        <rFont val="Palatino Linotype"/>
        <family val="1"/>
      </rPr>
      <t>, x</t>
    </r>
    <r>
      <rPr>
        <vertAlign val="subscript"/>
        <sz val="28"/>
        <color theme="7" tint="-0.499984740745262"/>
        <rFont val="Palatino Linotype"/>
        <family val="1"/>
      </rPr>
      <t>2</t>
    </r>
    <r>
      <rPr>
        <sz val="28"/>
        <color theme="7" tint="-0.499984740745262"/>
        <rFont val="Palatino Linotype"/>
        <family val="1"/>
      </rPr>
      <t>, x</t>
    </r>
    <r>
      <rPr>
        <vertAlign val="subscript"/>
        <sz val="28"/>
        <color theme="7" tint="-0.499984740745262"/>
        <rFont val="Palatino Linotype"/>
        <family val="1"/>
      </rPr>
      <t>3</t>
    </r>
  </si>
  <si>
    <r>
      <t>Solutions using the attributes x</t>
    </r>
    <r>
      <rPr>
        <vertAlign val="subscript"/>
        <sz val="28"/>
        <color theme="7" tint="-0.499984740745262"/>
        <rFont val="Palatino Linotype"/>
        <family val="1"/>
      </rPr>
      <t>0</t>
    </r>
    <r>
      <rPr>
        <sz val="28"/>
        <color theme="7" tint="-0.499984740745262"/>
        <rFont val="Palatino Linotype"/>
        <family val="1"/>
      </rPr>
      <t>, x</t>
    </r>
    <r>
      <rPr>
        <vertAlign val="subscript"/>
        <sz val="28"/>
        <color theme="7" tint="-0.499984740745262"/>
        <rFont val="Palatino Linotype"/>
        <family val="1"/>
      </rPr>
      <t>1</t>
    </r>
    <r>
      <rPr>
        <sz val="28"/>
        <color theme="7" tint="-0.499984740745262"/>
        <rFont val="Palatino Linotype"/>
        <family val="1"/>
      </rPr>
      <t>, x</t>
    </r>
    <r>
      <rPr>
        <vertAlign val="subscript"/>
        <sz val="28"/>
        <color theme="7" tint="-0.499984740745262"/>
        <rFont val="Palatino Linotype"/>
        <family val="1"/>
      </rPr>
      <t>2</t>
    </r>
  </si>
  <si>
    <r>
      <t>Solutions using attributes ϕ</t>
    </r>
    <r>
      <rPr>
        <vertAlign val="subscript"/>
        <sz val="28"/>
        <color theme="7" tint="-0.499984740745262"/>
        <rFont val="Palatino Linotype"/>
        <family val="1"/>
      </rPr>
      <t>0</t>
    </r>
    <r>
      <rPr>
        <sz val="28"/>
        <color theme="7" tint="-0.499984740745262"/>
        <rFont val="Palatino Linotype"/>
        <family val="1"/>
      </rPr>
      <t>, ϕ</t>
    </r>
    <r>
      <rPr>
        <vertAlign val="subscript"/>
        <sz val="28"/>
        <color theme="7" tint="-0.499984740745262"/>
        <rFont val="Palatino Linotype"/>
        <family val="1"/>
      </rPr>
      <t>1</t>
    </r>
    <r>
      <rPr>
        <sz val="28"/>
        <color theme="7" tint="-0.499984740745262"/>
        <rFont val="Palatino Linotype"/>
        <family val="1"/>
      </rPr>
      <t>, ϕ</t>
    </r>
    <r>
      <rPr>
        <vertAlign val="subscript"/>
        <sz val="28"/>
        <color theme="7" tint="-0.499984740745262"/>
        <rFont val="Palatino Linotype"/>
        <family val="1"/>
      </rPr>
      <t>2</t>
    </r>
    <r>
      <rPr>
        <sz val="28"/>
        <color theme="7" tint="-0.499984740745262"/>
        <rFont val="Palatino Linotype"/>
        <family val="1"/>
      </rPr>
      <t>, ϕ</t>
    </r>
    <r>
      <rPr>
        <vertAlign val="subscript"/>
        <sz val="28"/>
        <color theme="7" tint="-0.499984740745262"/>
        <rFont val="Palatino Linotype"/>
        <family val="1"/>
      </rPr>
      <t>3</t>
    </r>
  </si>
  <si>
    <r>
      <t xml:space="preserve">Batch Gradient Descent  w </t>
    </r>
    <r>
      <rPr>
        <sz val="22"/>
        <color theme="1"/>
        <rFont val="Palatino Linotype"/>
        <family val="1"/>
      </rPr>
      <t xml:space="preserve">= </t>
    </r>
    <r>
      <rPr>
        <b/>
        <sz val="22"/>
        <color theme="1"/>
        <rFont val="Palatino Linotype"/>
        <family val="1"/>
      </rPr>
      <t xml:space="preserve">w </t>
    </r>
    <r>
      <rPr>
        <sz val="22"/>
        <color theme="1"/>
        <rFont val="Palatino Linotype"/>
        <family val="1"/>
      </rPr>
      <t>+ (</t>
    </r>
    <r>
      <rPr>
        <sz val="20"/>
        <color theme="1"/>
        <rFont val="Palatino Linotype"/>
        <family val="1"/>
      </rPr>
      <t>η</t>
    </r>
    <r>
      <rPr>
        <sz val="22"/>
        <color theme="1"/>
        <rFont val="Palatino Linotype"/>
        <family val="1"/>
      </rPr>
      <t>/</t>
    </r>
    <r>
      <rPr>
        <sz val="15"/>
        <color theme="1"/>
        <rFont val="Palatino Linotype"/>
        <family val="1"/>
      </rPr>
      <t>N</t>
    </r>
    <r>
      <rPr>
        <sz val="22"/>
        <color theme="1"/>
        <rFont val="Palatino Linotype"/>
        <family val="1"/>
      </rPr>
      <t xml:space="preserve">) </t>
    </r>
    <r>
      <rPr>
        <b/>
        <sz val="22"/>
        <color theme="1"/>
        <rFont val="Palatino Linotype"/>
        <family val="1"/>
      </rPr>
      <t>Φ</t>
    </r>
    <r>
      <rPr>
        <vertAlign val="superscript"/>
        <sz val="22"/>
        <color theme="1"/>
        <rFont val="Palatino Linotype"/>
        <family val="1"/>
      </rPr>
      <t>⊤</t>
    </r>
    <r>
      <rPr>
        <sz val="22"/>
        <color theme="1"/>
        <rFont val="Palatino Linotype"/>
        <family val="1"/>
      </rPr>
      <t>(</t>
    </r>
    <r>
      <rPr>
        <b/>
        <sz val="22"/>
        <color theme="1"/>
        <rFont val="Palatino Linotype"/>
        <family val="1"/>
      </rPr>
      <t xml:space="preserve">t </t>
    </r>
    <r>
      <rPr>
        <sz val="22"/>
        <color theme="1"/>
        <rFont val="Palatino Linotype"/>
        <family val="1"/>
      </rPr>
      <t xml:space="preserve">- </t>
    </r>
    <r>
      <rPr>
        <b/>
        <sz val="22"/>
        <color theme="1"/>
        <rFont val="Palatino Linotype"/>
        <family val="1"/>
      </rPr>
      <t>Φw</t>
    </r>
    <r>
      <rPr>
        <sz val="22"/>
        <color theme="1"/>
        <rFont val="Palatino Linotype"/>
        <family val="1"/>
      </rPr>
      <t>)</t>
    </r>
  </si>
  <si>
    <t>Correlation</t>
  </si>
  <si>
    <t>Solu. based on x1, x2 only</t>
  </si>
  <si>
    <t>Batch Gradient Descent</t>
  </si>
  <si>
    <r>
      <t xml:space="preserve">w </t>
    </r>
    <r>
      <rPr>
        <sz val="22"/>
        <color theme="1"/>
        <rFont val="Palatino Linotype"/>
        <family val="1"/>
      </rPr>
      <t xml:space="preserve">= </t>
    </r>
    <r>
      <rPr>
        <b/>
        <sz val="22"/>
        <color theme="1"/>
        <rFont val="Palatino Linotype"/>
        <family val="1"/>
      </rPr>
      <t xml:space="preserve">w </t>
    </r>
    <r>
      <rPr>
        <sz val="22"/>
        <color theme="1"/>
        <rFont val="Palatino Linotype"/>
        <family val="1"/>
      </rPr>
      <t>+ (</t>
    </r>
    <r>
      <rPr>
        <sz val="20"/>
        <color theme="1"/>
        <rFont val="Palatino Linotype"/>
        <family val="1"/>
      </rPr>
      <t>η</t>
    </r>
    <r>
      <rPr>
        <sz val="22"/>
        <color theme="1"/>
        <rFont val="Palatino Linotype"/>
        <family val="1"/>
      </rPr>
      <t>/</t>
    </r>
    <r>
      <rPr>
        <sz val="15"/>
        <color theme="1"/>
        <rFont val="Palatino Linotype"/>
        <family val="1"/>
      </rPr>
      <t>N</t>
    </r>
    <r>
      <rPr>
        <sz val="22"/>
        <color theme="1"/>
        <rFont val="Palatino Linotype"/>
        <family val="1"/>
      </rPr>
      <t xml:space="preserve">) </t>
    </r>
    <r>
      <rPr>
        <b/>
        <sz val="22"/>
        <color theme="1"/>
        <rFont val="Palatino Linotype"/>
        <family val="1"/>
      </rPr>
      <t>X_</t>
    </r>
    <r>
      <rPr>
        <vertAlign val="superscript"/>
        <sz val="22"/>
        <color theme="1"/>
        <rFont val="Palatino Linotype"/>
        <family val="1"/>
      </rPr>
      <t>⊤</t>
    </r>
    <r>
      <rPr>
        <sz val="22"/>
        <color theme="1"/>
        <rFont val="Palatino Linotype"/>
        <family val="1"/>
      </rPr>
      <t>(</t>
    </r>
    <r>
      <rPr>
        <b/>
        <sz val="22"/>
        <color theme="1"/>
        <rFont val="Palatino Linotype"/>
        <family val="1"/>
      </rPr>
      <t xml:space="preserve">t </t>
    </r>
    <r>
      <rPr>
        <sz val="22"/>
        <color theme="1"/>
        <rFont val="Palatino Linotype"/>
        <family val="1"/>
      </rPr>
      <t>- X_</t>
    </r>
    <r>
      <rPr>
        <b/>
        <sz val="22"/>
        <color theme="1"/>
        <rFont val="Palatino Linotype"/>
        <family val="1"/>
      </rPr>
      <t>w</t>
    </r>
    <r>
      <rPr>
        <sz val="22"/>
        <color theme="1"/>
        <rFont val="Palatino Linotype"/>
        <family val="1"/>
      </rPr>
      <t>)</t>
    </r>
  </si>
  <si>
    <r>
      <t xml:space="preserve">w </t>
    </r>
    <r>
      <rPr>
        <sz val="22"/>
        <color theme="1"/>
        <rFont val="Palatino Linotype"/>
        <family val="1"/>
      </rPr>
      <t xml:space="preserve">= </t>
    </r>
    <r>
      <rPr>
        <b/>
        <sz val="22"/>
        <color theme="1"/>
        <rFont val="Palatino Linotype"/>
        <family val="1"/>
      </rPr>
      <t xml:space="preserve">w </t>
    </r>
    <r>
      <rPr>
        <sz val="22"/>
        <color theme="1"/>
        <rFont val="Palatino Linotype"/>
        <family val="1"/>
      </rPr>
      <t>+ (</t>
    </r>
    <r>
      <rPr>
        <sz val="20"/>
        <color theme="1"/>
        <rFont val="Palatino Linotype"/>
        <family val="1"/>
      </rPr>
      <t>η</t>
    </r>
    <r>
      <rPr>
        <sz val="22"/>
        <color theme="1"/>
        <rFont val="Palatino Linotype"/>
        <family val="1"/>
      </rPr>
      <t>/</t>
    </r>
    <r>
      <rPr>
        <sz val="15"/>
        <color theme="1"/>
        <rFont val="Palatino Linotype"/>
        <family val="1"/>
      </rPr>
      <t>N</t>
    </r>
    <r>
      <rPr>
        <sz val="22"/>
        <color theme="1"/>
        <rFont val="Palatino Linotype"/>
        <family val="1"/>
      </rPr>
      <t xml:space="preserve">) </t>
    </r>
    <r>
      <rPr>
        <b/>
        <sz val="22"/>
        <color theme="1"/>
        <rFont val="Palatino Linotype"/>
        <family val="1"/>
      </rPr>
      <t>X</t>
    </r>
    <r>
      <rPr>
        <vertAlign val="superscript"/>
        <sz val="22"/>
        <color theme="1"/>
        <rFont val="Palatino Linotype"/>
        <family val="1"/>
      </rPr>
      <t>⊤</t>
    </r>
    <r>
      <rPr>
        <sz val="22"/>
        <color theme="1"/>
        <rFont val="Palatino Linotype"/>
        <family val="1"/>
      </rPr>
      <t>(</t>
    </r>
    <r>
      <rPr>
        <b/>
        <sz val="22"/>
        <color theme="1"/>
        <rFont val="Palatino Linotype"/>
        <family val="1"/>
      </rPr>
      <t xml:space="preserve">t </t>
    </r>
    <r>
      <rPr>
        <sz val="22"/>
        <color theme="1"/>
        <rFont val="Palatino Linotype"/>
        <family val="1"/>
      </rPr>
      <t xml:space="preserve">- </t>
    </r>
    <r>
      <rPr>
        <b/>
        <sz val="22"/>
        <color theme="1"/>
        <rFont val="Palatino Linotype"/>
        <family val="1"/>
      </rPr>
      <t>Xw</t>
    </r>
    <r>
      <rPr>
        <sz val="22"/>
        <color theme="1"/>
        <rFont val="Palatino Linotype"/>
        <family val="1"/>
      </rPr>
      <t>)</t>
    </r>
  </si>
  <si>
    <t>try different learning rates</t>
  </si>
  <si>
    <t>since the addition of x3 has  little effect on the loss, and it has little correlation with x1 and x2 then it is redundant</t>
  </si>
  <si>
    <t>Press F9 or ctl s to generate different data and see the effect</t>
  </si>
  <si>
    <t>The attributes seems to have a non-linera relationship to t</t>
  </si>
  <si>
    <t>The attributes x2 and x3 seems to be independent</t>
  </si>
  <si>
    <t>By comapring the losses with and without feature mapping we can see how feature mapping helped in reducing the loss</t>
  </si>
  <si>
    <t>Nonlinear problem</t>
  </si>
  <si>
    <t>Linear problem</t>
  </si>
  <si>
    <t>`</t>
  </si>
  <si>
    <r>
      <t>R</t>
    </r>
    <r>
      <rPr>
        <b/>
        <vertAlign val="superscript"/>
        <sz val="20"/>
        <color theme="8" tint="-0.249977111117893"/>
        <rFont val="Arial"/>
        <family val="2"/>
      </rPr>
      <t>2</t>
    </r>
  </si>
  <si>
    <t>note that R2 for GD is less than for LS</t>
  </si>
  <si>
    <r>
      <t>Least Squares(LS)   w</t>
    </r>
    <r>
      <rPr>
        <sz val="22"/>
        <color theme="1"/>
        <rFont val="Palatino Linotype"/>
        <family val="1"/>
      </rPr>
      <t>*=(</t>
    </r>
    <r>
      <rPr>
        <b/>
        <sz val="22"/>
        <color theme="1"/>
        <rFont val="Palatino Linotype"/>
        <family val="1"/>
      </rPr>
      <t>X_</t>
    </r>
    <r>
      <rPr>
        <vertAlign val="superscript"/>
        <sz val="22"/>
        <color theme="1"/>
        <rFont val="Palatino Linotype"/>
        <family val="1"/>
      </rPr>
      <t>⊤</t>
    </r>
    <r>
      <rPr>
        <b/>
        <sz val="22"/>
        <color theme="1"/>
        <rFont val="Palatino Linotype"/>
        <family val="1"/>
      </rPr>
      <t>X_</t>
    </r>
    <r>
      <rPr>
        <sz val="22"/>
        <color theme="1"/>
        <rFont val="Palatino Linotype"/>
        <family val="1"/>
      </rPr>
      <t>)</t>
    </r>
    <r>
      <rPr>
        <vertAlign val="superscript"/>
        <sz val="22"/>
        <color theme="1"/>
        <rFont val="Palatino Linotype"/>
        <family val="1"/>
      </rPr>
      <t>-1</t>
    </r>
    <r>
      <rPr>
        <sz val="22"/>
        <color theme="1"/>
        <rFont val="Palatino Linotype"/>
        <family val="1"/>
      </rPr>
      <t>(</t>
    </r>
    <r>
      <rPr>
        <b/>
        <sz val="22"/>
        <color theme="1"/>
        <rFont val="Palatino Linotype"/>
        <family val="1"/>
      </rPr>
      <t>X_</t>
    </r>
    <r>
      <rPr>
        <b/>
        <vertAlign val="superscript"/>
        <sz val="22"/>
        <color theme="1"/>
        <rFont val="Palatino Linotype"/>
        <family val="1"/>
      </rPr>
      <t>T</t>
    </r>
    <r>
      <rPr>
        <b/>
        <sz val="22"/>
        <color theme="1"/>
        <rFont val="Palatino Linotype"/>
        <family val="1"/>
      </rPr>
      <t>t</t>
    </r>
    <r>
      <rPr>
        <sz val="22"/>
        <color theme="1"/>
        <rFont val="Palatino Linotype"/>
        <family val="1"/>
      </rPr>
      <t>)</t>
    </r>
  </si>
  <si>
    <r>
      <t>Least Squares(LS)  w</t>
    </r>
    <r>
      <rPr>
        <sz val="22"/>
        <color theme="1"/>
        <rFont val="Palatino Linotype"/>
        <family val="1"/>
      </rPr>
      <t>*=(</t>
    </r>
    <r>
      <rPr>
        <b/>
        <sz val="22"/>
        <color theme="1"/>
        <rFont val="Palatino Linotype"/>
        <family val="1"/>
      </rPr>
      <t>X</t>
    </r>
    <r>
      <rPr>
        <vertAlign val="superscript"/>
        <sz val="22"/>
        <color theme="1"/>
        <rFont val="Palatino Linotype"/>
        <family val="1"/>
      </rPr>
      <t>⊤</t>
    </r>
    <r>
      <rPr>
        <b/>
        <sz val="22"/>
        <color theme="1"/>
        <rFont val="Palatino Linotype"/>
        <family val="1"/>
      </rPr>
      <t>X</t>
    </r>
    <r>
      <rPr>
        <sz val="22"/>
        <color theme="1"/>
        <rFont val="Palatino Linotype"/>
        <family val="1"/>
      </rPr>
      <t>)</t>
    </r>
    <r>
      <rPr>
        <vertAlign val="superscript"/>
        <sz val="22"/>
        <color theme="1"/>
        <rFont val="Palatino Linotype"/>
        <family val="1"/>
      </rPr>
      <t>-1</t>
    </r>
    <r>
      <rPr>
        <sz val="22"/>
        <color theme="1"/>
        <rFont val="Palatino Linotype"/>
        <family val="1"/>
      </rPr>
      <t>(</t>
    </r>
    <r>
      <rPr>
        <b/>
        <sz val="22"/>
        <color theme="1"/>
        <rFont val="Palatino Linotype"/>
        <family val="1"/>
      </rPr>
      <t>X</t>
    </r>
    <r>
      <rPr>
        <b/>
        <vertAlign val="superscript"/>
        <sz val="22"/>
        <color theme="1"/>
        <rFont val="Palatino Linotype"/>
        <family val="1"/>
      </rPr>
      <t>T</t>
    </r>
    <r>
      <rPr>
        <b/>
        <sz val="22"/>
        <color theme="1"/>
        <rFont val="Palatino Linotype"/>
        <family val="1"/>
      </rPr>
      <t>t</t>
    </r>
    <r>
      <rPr>
        <sz val="22"/>
        <color theme="1"/>
        <rFont val="Palatino Linotype"/>
        <family val="1"/>
      </rPr>
      <t>)</t>
    </r>
  </si>
  <si>
    <t>Batch Gradient Descent(GD)</t>
  </si>
  <si>
    <r>
      <t>Your Task is to Try different feature mappings for ϕ</t>
    </r>
    <r>
      <rPr>
        <b/>
        <vertAlign val="subscript"/>
        <sz val="22"/>
        <color theme="8" tint="-0.499984740745262"/>
        <rFont val="Calibri"/>
        <family val="2"/>
      </rPr>
      <t>3</t>
    </r>
    <r>
      <rPr>
        <b/>
        <sz val="22"/>
        <color theme="8" tint="-0.499984740745262"/>
        <rFont val="Calibri"/>
        <family val="2"/>
      </rPr>
      <t xml:space="preserve"> such as ϕ3 = x1+ x2  ϕ</t>
    </r>
    <r>
      <rPr>
        <b/>
        <vertAlign val="subscript"/>
        <sz val="22"/>
        <color theme="8" tint="-0.499984740745262"/>
        <rFont val="Calibri"/>
        <family val="2"/>
      </rPr>
      <t>3</t>
    </r>
    <r>
      <rPr>
        <b/>
        <sz val="22"/>
        <color theme="8" tint="-0.499984740745262"/>
        <rFont val="Calibri"/>
        <family val="2"/>
      </rPr>
      <t xml:space="preserve"> = x</t>
    </r>
    <r>
      <rPr>
        <b/>
        <vertAlign val="subscript"/>
        <sz val="22"/>
        <color theme="8" tint="-0.499984740745262"/>
        <rFont val="Calibri"/>
        <family val="2"/>
      </rPr>
      <t>1</t>
    </r>
    <r>
      <rPr>
        <b/>
        <sz val="22"/>
        <color theme="8" tint="-0.499984740745262"/>
        <rFont val="Calibri"/>
        <family val="2"/>
      </rPr>
      <t xml:space="preserve"> * x</t>
    </r>
    <r>
      <rPr>
        <b/>
        <vertAlign val="subscript"/>
        <sz val="22"/>
        <color theme="8" tint="-0.499984740745262"/>
        <rFont val="Calibri"/>
        <family val="2"/>
      </rPr>
      <t xml:space="preserve">2 </t>
    </r>
    <r>
      <rPr>
        <b/>
        <sz val="22"/>
        <color theme="8" tint="-0.499984740745262"/>
        <rFont val="Calibri"/>
        <family val="2"/>
      </rPr>
      <t xml:space="preserve"> or ϕ</t>
    </r>
    <r>
      <rPr>
        <b/>
        <vertAlign val="subscript"/>
        <sz val="22"/>
        <color theme="8" tint="-0.499984740745262"/>
        <rFont val="Calibri"/>
        <family val="2"/>
      </rPr>
      <t>3</t>
    </r>
    <r>
      <rPr>
        <b/>
        <sz val="22"/>
        <color theme="8" tint="-0.499984740745262"/>
        <rFont val="Calibri"/>
        <family val="2"/>
      </rPr>
      <t>= x</t>
    </r>
    <r>
      <rPr>
        <b/>
        <vertAlign val="subscript"/>
        <sz val="22"/>
        <color theme="8" tint="-0.499984740745262"/>
        <rFont val="Calibri"/>
        <family val="2"/>
      </rPr>
      <t>1</t>
    </r>
    <r>
      <rPr>
        <b/>
        <vertAlign val="superscript"/>
        <sz val="22"/>
        <color theme="8" tint="-0.499984740745262"/>
        <rFont val="Calibri"/>
        <family val="2"/>
      </rPr>
      <t>2</t>
    </r>
    <r>
      <rPr>
        <b/>
        <sz val="22"/>
        <color theme="8" tint="-0.499984740745262"/>
        <rFont val="Calibri"/>
        <family val="2"/>
      </rPr>
      <t xml:space="preserve"> + x</t>
    </r>
    <r>
      <rPr>
        <b/>
        <vertAlign val="subscript"/>
        <sz val="22"/>
        <color theme="8" tint="-0.499984740745262"/>
        <rFont val="Calibri"/>
        <family val="2"/>
      </rPr>
      <t>2</t>
    </r>
    <r>
      <rPr>
        <b/>
        <vertAlign val="superscript"/>
        <sz val="22"/>
        <color theme="8" tint="-0.499984740745262"/>
        <rFont val="Calibri"/>
        <family val="2"/>
      </rPr>
      <t xml:space="preserve">2 </t>
    </r>
    <r>
      <rPr>
        <b/>
        <sz val="22"/>
        <color theme="8" tint="-0.499984740745262"/>
        <rFont val="Calibri"/>
        <family val="2"/>
      </rPr>
      <t>etc  and guess what is the best mapping that render the non-linear problem into linear</t>
    </r>
  </si>
  <si>
    <t>After setting ϕ3=f(ϕ1,ϕ2) the relationship between ϕ3 and t should become linear indicating that our feature mapping is working.</t>
  </si>
  <si>
    <t>This datasheet helps us understand the effect of redundant attribute and converting a non-linear regression problem into a linear regression problem</t>
  </si>
  <si>
    <t>Note that we expect an improvement for R2 across the mapping but sometimes R2 does not ‎accurately reflect the model performance, therefore we prefer to use loss. ‎</t>
  </si>
  <si>
    <t>We can plot the fitted values against the residuals to see if there is a pattern then to means the ‎model is biased, if the plot look random then it is a sign that the model is not biased which is of ‎course a good thing for any model</t>
  </si>
  <si>
    <r>
      <t>J</t>
    </r>
    <r>
      <rPr>
        <i/>
        <vertAlign val="subscript"/>
        <sz val="20"/>
        <color theme="1"/>
        <rFont val="Palatino Linotype"/>
        <family val="1"/>
      </rPr>
      <t>n,ls</t>
    </r>
    <r>
      <rPr>
        <i/>
        <sz val="20"/>
        <color theme="1"/>
        <rFont val="Palatino Linotype"/>
        <family val="1"/>
      </rPr>
      <t xml:space="preserve"> </t>
    </r>
    <r>
      <rPr>
        <i/>
        <sz val="14"/>
        <color theme="1"/>
        <rFont val="Palatino Linotype"/>
        <family val="1"/>
      </rPr>
      <t>Residuals</t>
    </r>
  </si>
  <si>
    <t>Note that when we use x1+x2 there is a bias since the residuals lies above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</si>
</sst>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42" x14ac:knownFonts="1">
    <font>
      <sz val="10"/>
      <color theme="1"/>
      <name val="Arial"/>
      <family val="2"/>
    </font>
    <font>
      <b/>
      <sz val="22"/>
      <color theme="1"/>
      <name val="Palatino Linotype"/>
      <family val="1"/>
    </font>
    <font>
      <sz val="20"/>
      <color theme="1"/>
      <name val="Palatino Linotype"/>
      <family val="1"/>
    </font>
    <font>
      <i/>
      <sz val="20"/>
      <color theme="1"/>
      <name val="Palatino Linotype"/>
      <family val="1"/>
    </font>
    <font>
      <vertAlign val="subscript"/>
      <sz val="20"/>
      <color theme="1"/>
      <name val="Palatino Linotype"/>
      <family val="1"/>
    </font>
    <font>
      <sz val="11"/>
      <color rgb="FF000000"/>
      <name val="Calibri"/>
      <family val="2"/>
    </font>
    <font>
      <b/>
      <vertAlign val="superscript"/>
      <sz val="22"/>
      <color theme="1"/>
      <name val="Palatino Linotype"/>
      <family val="1"/>
    </font>
    <font>
      <b/>
      <sz val="20"/>
      <color theme="1"/>
      <name val="Palatino Linotype"/>
      <family val="1"/>
    </font>
    <font>
      <sz val="22"/>
      <color theme="1"/>
      <name val="Palatino Linotype"/>
      <family val="1"/>
    </font>
    <font>
      <vertAlign val="superscript"/>
      <sz val="22"/>
      <color theme="1"/>
      <name val="Palatino Linotype"/>
      <family val="1"/>
    </font>
    <font>
      <i/>
      <vertAlign val="subscript"/>
      <sz val="20"/>
      <color theme="1"/>
      <name val="Palatino Linotype"/>
      <family val="1"/>
    </font>
    <font>
      <b/>
      <sz val="24"/>
      <color theme="1"/>
      <name val="Palatino Linotype"/>
      <family val="1"/>
    </font>
    <font>
      <i/>
      <sz val="18"/>
      <color theme="1"/>
      <name val="Palatino Linotype"/>
      <family val="1"/>
    </font>
    <font>
      <vertAlign val="subscript"/>
      <sz val="22"/>
      <color theme="1"/>
      <name val="Palatino Linotype"/>
      <family val="1"/>
    </font>
    <font>
      <sz val="15"/>
      <color theme="1"/>
      <name val="Palatino Linotype"/>
      <family val="1"/>
    </font>
    <font>
      <sz val="14"/>
      <color theme="1"/>
      <name val="Arial"/>
      <family val="2"/>
    </font>
    <font>
      <sz val="12"/>
      <color theme="1"/>
      <name val="Arial"/>
      <family val="2"/>
    </font>
    <font>
      <b/>
      <sz val="16"/>
      <color theme="1"/>
      <name val="Calibri"/>
      <family val="2"/>
    </font>
    <font>
      <sz val="16"/>
      <color theme="1"/>
      <name val="Calibri"/>
      <family val="2"/>
    </font>
    <font>
      <b/>
      <sz val="16"/>
      <color theme="1"/>
      <name val="Arial"/>
      <family val="2"/>
    </font>
    <font>
      <sz val="13"/>
      <color theme="1"/>
      <name val="Arial"/>
      <family val="2"/>
    </font>
    <font>
      <sz val="15"/>
      <color theme="1"/>
      <name val="Arial"/>
      <family val="2"/>
    </font>
    <font>
      <sz val="28"/>
      <color theme="7" tint="-0.499984740745262"/>
      <name val="Arial"/>
      <family val="2"/>
    </font>
    <font>
      <sz val="28"/>
      <color theme="7" tint="-0.499984740745262"/>
      <name val="Palatino Linotype"/>
      <family val="1"/>
    </font>
    <font>
      <vertAlign val="subscript"/>
      <sz val="28"/>
      <color theme="7" tint="-0.499984740745262"/>
      <name val="Palatino Linotype"/>
      <family val="1"/>
    </font>
    <font>
      <sz val="10"/>
      <color theme="1"/>
      <name val="Palatino Linotype"/>
      <family val="1"/>
    </font>
    <font>
      <sz val="10"/>
      <color rgb="FFFF0000"/>
      <name val="Arial"/>
      <family val="2"/>
    </font>
    <font>
      <sz val="18"/>
      <color theme="8" tint="-0.249977111117893"/>
      <name val="Arial"/>
      <family val="2"/>
    </font>
    <font>
      <b/>
      <sz val="20"/>
      <color theme="8" tint="-0.249977111117893"/>
      <name val="Arial"/>
      <family val="2"/>
    </font>
    <font>
      <b/>
      <sz val="18"/>
      <color theme="8" tint="-0.249977111117893"/>
      <name val="Arial"/>
      <family val="2"/>
    </font>
    <font>
      <sz val="16"/>
      <color theme="1"/>
      <name val="Arial"/>
      <family val="2"/>
    </font>
    <font>
      <sz val="36"/>
      <color theme="1"/>
      <name val="Arial"/>
      <family val="2"/>
    </font>
    <font>
      <b/>
      <sz val="14"/>
      <color theme="1"/>
      <name val="Arial"/>
      <family val="2"/>
    </font>
    <font>
      <b/>
      <vertAlign val="superscript"/>
      <sz val="20"/>
      <color theme="8" tint="-0.249977111117893"/>
      <name val="Arial"/>
      <family val="2"/>
    </font>
    <font>
      <sz val="16"/>
      <color rgb="FFC00000"/>
      <name val="Arial"/>
      <family val="2"/>
    </font>
    <font>
      <sz val="30"/>
      <color rgb="FFC00000"/>
      <name val="Arial"/>
      <family val="2"/>
    </font>
    <font>
      <b/>
      <sz val="20"/>
      <color rgb="FFC00000"/>
      <name val="Arial"/>
      <family val="2"/>
    </font>
    <font>
      <b/>
      <sz val="16"/>
      <color rgb="FFFF0000"/>
      <name val="Arial"/>
      <family val="2"/>
    </font>
    <font>
      <b/>
      <sz val="22"/>
      <color theme="8" tint="-0.499984740745262"/>
      <name val="Calibri"/>
      <family val="2"/>
    </font>
    <font>
      <b/>
      <vertAlign val="subscript"/>
      <sz val="22"/>
      <color theme="8" tint="-0.499984740745262"/>
      <name val="Calibri"/>
      <family val="2"/>
    </font>
    <font>
      <b/>
      <vertAlign val="superscript"/>
      <sz val="22"/>
      <color theme="8" tint="-0.499984740745262"/>
      <name val="Calibri"/>
      <family val="2"/>
    </font>
    <font>
      <i/>
      <sz val="14"/>
      <color theme="1"/>
      <name val="Palatino Linotype"/>
      <family val="1"/>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53">
    <border>
      <left/>
      <right/>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hair">
        <color indexed="64"/>
      </left>
      <right/>
      <top style="medium">
        <color rgb="FFFFFFFF"/>
      </top>
      <bottom style="medium">
        <color rgb="FFFFFFFF"/>
      </bottom>
      <diagonal/>
    </border>
    <border>
      <left style="hair">
        <color indexed="64"/>
      </left>
      <right/>
      <top style="medium">
        <color rgb="FFFFFFFF"/>
      </top>
      <bottom style="medium">
        <color indexed="64"/>
      </bottom>
      <diagonal/>
    </border>
    <border>
      <left/>
      <right/>
      <top style="medium">
        <color indexed="64"/>
      </top>
      <bottom style="medium">
        <color rgb="FFFFFFFF"/>
      </bottom>
      <diagonal/>
    </border>
    <border>
      <left style="medium">
        <color indexed="64"/>
      </left>
      <right/>
      <top style="medium">
        <color rgb="FFFFFFFF"/>
      </top>
      <bottom style="medium">
        <color rgb="FFFFFFFF"/>
      </bottom>
      <diagonal/>
    </border>
    <border>
      <left/>
      <right/>
      <top style="medium">
        <color rgb="FFFFFFFF"/>
      </top>
      <bottom style="medium">
        <color rgb="FFFFFFF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rgb="FFFFFFFF"/>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medium">
        <color indexed="64"/>
      </right>
      <top/>
      <bottom style="medium">
        <color rgb="FFFFFFFF"/>
      </bottom>
      <diagonal/>
    </border>
    <border>
      <left/>
      <right style="medium">
        <color indexed="64"/>
      </right>
      <top style="medium">
        <color rgb="FFFFFFFF"/>
      </top>
      <bottom style="medium">
        <color rgb="FFFFFFFF"/>
      </bottom>
      <diagonal/>
    </border>
    <border>
      <left/>
      <right style="medium">
        <color indexed="64"/>
      </right>
      <top style="medium">
        <color rgb="FFFFFFFF"/>
      </top>
      <bottom style="medium">
        <color indexed="64"/>
      </bottom>
      <diagonal/>
    </border>
    <border>
      <left/>
      <right style="hair">
        <color indexed="64"/>
      </right>
      <top style="medium">
        <color indexed="64"/>
      </top>
      <bottom style="medium">
        <color indexed="64"/>
      </bottom>
      <diagonal/>
    </border>
    <border>
      <left style="hair">
        <color indexed="64"/>
      </left>
      <right/>
      <top style="thin">
        <color indexed="64"/>
      </top>
      <bottom style="medium">
        <color rgb="FFFFFFFF"/>
      </bottom>
      <diagonal/>
    </border>
    <border>
      <left style="hair">
        <color indexed="64"/>
      </left>
      <right style="thin">
        <color indexed="64"/>
      </right>
      <top style="thin">
        <color indexed="64"/>
      </top>
      <bottom style="medium">
        <color rgb="FFFFFFFF"/>
      </bottom>
      <diagonal/>
    </border>
    <border>
      <left style="hair">
        <color indexed="64"/>
      </left>
      <right style="thin">
        <color indexed="64"/>
      </right>
      <top style="medium">
        <color rgb="FFFFFFFF"/>
      </top>
      <bottom style="medium">
        <color rgb="FFFFFFFF"/>
      </bottom>
      <diagonal/>
    </border>
    <border>
      <left style="dashed">
        <color indexed="64"/>
      </left>
      <right style="dashed">
        <color indexed="64"/>
      </right>
      <top style="dashed">
        <color indexed="64"/>
      </top>
      <bottom style="dashed">
        <color indexed="64"/>
      </bottom>
      <diagonal/>
    </border>
    <border>
      <left style="dashed">
        <color indexed="64"/>
      </left>
      <right style="hair">
        <color indexed="64"/>
      </right>
      <top style="dashed">
        <color indexed="64"/>
      </top>
      <bottom style="hair">
        <color indexed="64"/>
      </bottom>
      <diagonal/>
    </border>
    <border>
      <left style="hair">
        <color indexed="64"/>
      </left>
      <right style="hair">
        <color indexed="64"/>
      </right>
      <top style="dashed">
        <color indexed="64"/>
      </top>
      <bottom style="hair">
        <color indexed="64"/>
      </bottom>
      <diagonal/>
    </border>
    <border>
      <left style="hair">
        <color indexed="64"/>
      </left>
      <right style="dashed">
        <color indexed="64"/>
      </right>
      <top style="dashed">
        <color indexed="64"/>
      </top>
      <bottom style="hair">
        <color indexed="64"/>
      </bottom>
      <diagonal/>
    </border>
    <border>
      <left style="dashed">
        <color indexed="64"/>
      </left>
      <right style="hair">
        <color indexed="64"/>
      </right>
      <top style="hair">
        <color indexed="64"/>
      </top>
      <bottom style="hair">
        <color indexed="64"/>
      </bottom>
      <diagonal/>
    </border>
    <border>
      <left style="hair">
        <color indexed="64"/>
      </left>
      <right style="dashed">
        <color indexed="64"/>
      </right>
      <top style="hair">
        <color indexed="64"/>
      </top>
      <bottom style="hair">
        <color indexed="64"/>
      </bottom>
      <diagonal/>
    </border>
    <border>
      <left style="dashed">
        <color indexed="64"/>
      </left>
      <right style="hair">
        <color indexed="64"/>
      </right>
      <top style="hair">
        <color indexed="64"/>
      </top>
      <bottom style="dashed">
        <color indexed="64"/>
      </bottom>
      <diagonal/>
    </border>
    <border>
      <left style="hair">
        <color indexed="64"/>
      </left>
      <right style="hair">
        <color indexed="64"/>
      </right>
      <top style="hair">
        <color indexed="64"/>
      </top>
      <bottom style="dashed">
        <color indexed="64"/>
      </bottom>
      <diagonal/>
    </border>
    <border>
      <left style="hair">
        <color indexed="64"/>
      </left>
      <right style="dashed">
        <color indexed="64"/>
      </right>
      <top style="hair">
        <color indexed="64"/>
      </top>
      <bottom style="dashed">
        <color indexed="64"/>
      </bottom>
      <diagonal/>
    </border>
    <border>
      <left style="medium">
        <color indexed="64"/>
      </left>
      <right/>
      <top style="thin">
        <color indexed="64"/>
      </top>
      <bottom/>
      <diagonal/>
    </border>
    <border>
      <left style="hair">
        <color indexed="64"/>
      </left>
      <right style="thin">
        <color indexed="64"/>
      </right>
      <top style="medium">
        <color rgb="FFFFFFFF"/>
      </top>
      <bottom style="medium">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rgb="FFFFFFFF"/>
      </bottom>
      <diagonal/>
    </border>
    <border>
      <left style="hair">
        <color indexed="64"/>
      </left>
      <right/>
      <top/>
      <bottom style="medium">
        <color rgb="FFFFFFFF"/>
      </bottom>
      <diagonal/>
    </border>
    <border>
      <left style="hair">
        <color indexed="64"/>
      </left>
      <right/>
      <top style="medium">
        <color indexed="64"/>
      </top>
      <bottom style="medium">
        <color rgb="FFFFFFFF"/>
      </bottom>
      <diagonal/>
    </border>
    <border>
      <left style="hair">
        <color indexed="64"/>
      </left>
      <right style="medium">
        <color indexed="64"/>
      </right>
      <top style="medium">
        <color indexed="64"/>
      </top>
      <bottom style="medium">
        <color rgb="FFFFFFFF"/>
      </bottom>
      <diagonal/>
    </border>
    <border>
      <left style="hair">
        <color indexed="64"/>
      </left>
      <right style="medium">
        <color indexed="64"/>
      </right>
      <top style="medium">
        <color rgb="FFFFFFFF"/>
      </top>
      <bottom style="medium">
        <color rgb="FFFFFFFF"/>
      </bottom>
      <diagonal/>
    </border>
    <border>
      <left/>
      <right/>
      <top style="medium">
        <color rgb="FFFFFFFF"/>
      </top>
      <bottom style="medium">
        <color indexed="64"/>
      </bottom>
      <diagonal/>
    </border>
    <border>
      <left style="hair">
        <color indexed="64"/>
      </left>
      <right style="medium">
        <color indexed="64"/>
      </right>
      <top style="medium">
        <color rgb="FFFFFFFF"/>
      </top>
      <bottom style="medium">
        <color indexed="64"/>
      </bottom>
      <diagonal/>
    </border>
  </borders>
  <cellStyleXfs count="1">
    <xf numFmtId="0" fontId="0" fillId="0" borderId="0"/>
  </cellStyleXfs>
  <cellXfs count="209">
    <xf numFmtId="0" fontId="0" fillId="0" borderId="0" xfId="0"/>
    <xf numFmtId="0" fontId="0" fillId="0" borderId="2" xfId="0" applyBorder="1" applyAlignment="1">
      <alignment horizontal="center"/>
    </xf>
    <xf numFmtId="0" fontId="0" fillId="0" borderId="3" xfId="0" applyBorder="1" applyAlignment="1">
      <alignment horizontal="center"/>
    </xf>
    <xf numFmtId="2" fontId="0" fillId="0" borderId="0" xfId="0" applyNumberFormat="1" applyBorder="1"/>
    <xf numFmtId="0" fontId="7" fillId="0" borderId="0" xfId="0" applyFont="1" applyBorder="1" applyAlignment="1">
      <alignment horizontal="center" vertical="center"/>
    </xf>
    <xf numFmtId="0" fontId="0" fillId="0" borderId="0" xfId="0" applyBorder="1" applyAlignment="1">
      <alignment horizontal="center"/>
    </xf>
    <xf numFmtId="0" fontId="0" fillId="0" borderId="2" xfId="0" applyBorder="1"/>
    <xf numFmtId="2" fontId="5" fillId="2" borderId="10" xfId="0" applyNumberFormat="1" applyFont="1" applyFill="1" applyBorder="1" applyAlignment="1" applyProtection="1">
      <alignment horizontal="center" vertical="center" wrapText="1"/>
    </xf>
    <xf numFmtId="2" fontId="5" fillId="2" borderId="11" xfId="0" applyNumberFormat="1" applyFont="1" applyFill="1" applyBorder="1" applyAlignment="1" applyProtection="1">
      <alignment horizontal="center" vertical="center" wrapText="1"/>
    </xf>
    <xf numFmtId="4" fontId="5" fillId="3" borderId="13" xfId="0" applyNumberFormat="1" applyFont="1" applyFill="1" applyBorder="1" applyAlignment="1" applyProtection="1">
      <alignment horizontal="center" vertical="center" wrapText="1"/>
    </xf>
    <xf numFmtId="0" fontId="3" fillId="0" borderId="4" xfId="0" applyFont="1" applyBorder="1" applyAlignment="1">
      <alignment horizontal="center"/>
    </xf>
    <xf numFmtId="0" fontId="3" fillId="0" borderId="5" xfId="0" applyFont="1" applyBorder="1" applyAlignment="1">
      <alignment horizontal="center"/>
    </xf>
    <xf numFmtId="0" fontId="0" fillId="0" borderId="0" xfId="0" applyAlignment="1"/>
    <xf numFmtId="0" fontId="0" fillId="0" borderId="8" xfId="0" applyBorder="1" applyAlignment="1">
      <alignment horizontal="center"/>
    </xf>
    <xf numFmtId="0" fontId="0" fillId="0" borderId="0" xfId="0" applyBorder="1"/>
    <xf numFmtId="0" fontId="0" fillId="0" borderId="5" xfId="0" applyBorder="1"/>
    <xf numFmtId="0" fontId="0" fillId="0" borderId="6" xfId="0" applyBorder="1"/>
    <xf numFmtId="0" fontId="0" fillId="0" borderId="1" xfId="0" applyBorder="1"/>
    <xf numFmtId="0" fontId="0" fillId="0" borderId="7" xfId="0" applyBorder="1"/>
    <xf numFmtId="0" fontId="0" fillId="0" borderId="8" xfId="0" applyBorder="1"/>
    <xf numFmtId="2" fontId="0" fillId="0" borderId="0" xfId="0" applyNumberFormat="1" applyBorder="1" applyAlignment="1">
      <alignment horizontal="center" vertical="center"/>
    </xf>
    <xf numFmtId="0" fontId="1" fillId="0" borderId="4" xfId="0" applyFont="1" applyBorder="1" applyAlignment="1">
      <alignment vertical="center"/>
    </xf>
    <xf numFmtId="2" fontId="8" fillId="0" borderId="0" xfId="0" applyNumberFormat="1" applyFont="1" applyBorder="1" applyAlignment="1">
      <alignment horizontal="center" vertical="center"/>
    </xf>
    <xf numFmtId="0" fontId="0" fillId="0" borderId="0" xfId="0" applyBorder="1" applyAlignment="1">
      <alignment horizontal="center" wrapText="1"/>
    </xf>
    <xf numFmtId="0" fontId="16" fillId="0" borderId="0" xfId="0" quotePrefix="1" applyFont="1" applyBorder="1" applyAlignment="1">
      <alignment horizontal="center"/>
    </xf>
    <xf numFmtId="0" fontId="16" fillId="0" borderId="0" xfId="0" applyFont="1" applyBorder="1" applyAlignment="1">
      <alignment horizontal="center"/>
    </xf>
    <xf numFmtId="0" fontId="1" fillId="0" borderId="2" xfId="0" applyFont="1" applyBorder="1" applyAlignment="1">
      <alignment vertical="center"/>
    </xf>
    <xf numFmtId="0" fontId="1" fillId="0" borderId="0" xfId="0" applyFont="1" applyBorder="1" applyAlignment="1">
      <alignment vertical="center"/>
    </xf>
    <xf numFmtId="0" fontId="3" fillId="0" borderId="4" xfId="0" applyFont="1" applyFill="1" applyBorder="1" applyAlignment="1">
      <alignment horizontal="center"/>
    </xf>
    <xf numFmtId="0" fontId="3" fillId="0" borderId="18" xfId="0" applyFont="1" applyFill="1" applyBorder="1" applyAlignment="1">
      <alignment horizontal="center"/>
    </xf>
    <xf numFmtId="0" fontId="3" fillId="0" borderId="6" xfId="0" applyFont="1" applyFill="1" applyBorder="1" applyAlignment="1">
      <alignment horizontal="center"/>
    </xf>
    <xf numFmtId="0" fontId="19" fillId="0" borderId="0" xfId="0" applyFont="1" applyBorder="1" applyAlignment="1">
      <alignment horizontal="center" vertical="center" wrapText="1"/>
    </xf>
    <xf numFmtId="0" fontId="18" fillId="0" borderId="0" xfId="0" applyFont="1" applyAlignment="1">
      <alignment horizontal="center" vertical="center" wrapText="1"/>
    </xf>
    <xf numFmtId="0" fontId="17" fillId="0" borderId="0" xfId="0" applyFont="1"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4" fontId="5" fillId="3" borderId="23" xfId="0" applyNumberFormat="1" applyFont="1" applyFill="1" applyBorder="1" applyAlignment="1" applyProtection="1">
      <alignment horizontal="center" wrapText="1"/>
    </xf>
    <xf numFmtId="4" fontId="5" fillId="3" borderId="13" xfId="0" applyNumberFormat="1" applyFont="1" applyFill="1" applyBorder="1" applyAlignment="1" applyProtection="1">
      <alignment horizontal="center" wrapText="1"/>
    </xf>
    <xf numFmtId="0" fontId="0" fillId="0" borderId="15" xfId="0" applyBorder="1" applyAlignment="1">
      <alignment horizontal="center" vertical="center"/>
    </xf>
    <xf numFmtId="0" fontId="3" fillId="0" borderId="12" xfId="0" applyFont="1" applyFill="1" applyBorder="1" applyAlignment="1">
      <alignment horizontal="center"/>
    </xf>
    <xf numFmtId="4" fontId="5" fillId="3" borderId="14" xfId="0" applyNumberFormat="1" applyFont="1" applyFill="1" applyBorder="1" applyAlignment="1" applyProtection="1">
      <alignment horizontal="center" wrapText="1"/>
    </xf>
    <xf numFmtId="0" fontId="18" fillId="0" borderId="0" xfId="0" applyFont="1" applyAlignment="1">
      <alignment vertical="center" wrapText="1"/>
    </xf>
    <xf numFmtId="0" fontId="20" fillId="0" borderId="0" xfId="0" applyFont="1" applyBorder="1" applyAlignment="1">
      <alignment horizontal="center" vertical="center"/>
    </xf>
    <xf numFmtId="0" fontId="20" fillId="0" borderId="0" xfId="0" quotePrefix="1" applyFont="1" applyBorder="1" applyAlignment="1">
      <alignment horizontal="right" vertical="center"/>
    </xf>
    <xf numFmtId="0" fontId="21" fillId="0" borderId="0" xfId="0" quotePrefix="1" applyFont="1" applyBorder="1" applyAlignment="1">
      <alignment horizontal="right" vertical="center"/>
    </xf>
    <xf numFmtId="0" fontId="22" fillId="0" borderId="1" xfId="0" applyFont="1" applyBorder="1" applyAlignment="1"/>
    <xf numFmtId="0" fontId="22" fillId="0" borderId="0" xfId="0" applyFont="1" applyBorder="1" applyAlignment="1"/>
    <xf numFmtId="0" fontId="22" fillId="0" borderId="5" xfId="0" applyFont="1" applyBorder="1" applyAlignment="1"/>
    <xf numFmtId="0" fontId="22" fillId="0" borderId="6" xfId="0" applyFont="1" applyBorder="1" applyAlignment="1"/>
    <xf numFmtId="0" fontId="22" fillId="0" borderId="8" xfId="0" applyFont="1" applyBorder="1" applyAlignment="1"/>
    <xf numFmtId="0" fontId="22" fillId="0" borderId="7" xfId="0" applyFont="1" applyBorder="1" applyAlignment="1"/>
    <xf numFmtId="0" fontId="22" fillId="0" borderId="3" xfId="0" applyFont="1" applyBorder="1" applyAlignment="1"/>
    <xf numFmtId="0" fontId="2" fillId="0" borderId="4" xfId="0" applyFont="1" applyFill="1" applyBorder="1" applyAlignment="1">
      <alignment horizontal="center"/>
    </xf>
    <xf numFmtId="0" fontId="23" fillId="0" borderId="4" xfId="0" applyFont="1" applyBorder="1" applyAlignment="1"/>
    <xf numFmtId="0" fontId="23" fillId="0" borderId="5" xfId="0" applyFont="1" applyBorder="1" applyAlignment="1"/>
    <xf numFmtId="0" fontId="25" fillId="0" borderId="5" xfId="0" applyFont="1" applyBorder="1"/>
    <xf numFmtId="0" fontId="25" fillId="0" borderId="6" xfId="0" applyFont="1" applyBorder="1"/>
    <xf numFmtId="0" fontId="25" fillId="0" borderId="0" xfId="0" applyFont="1" applyBorder="1"/>
    <xf numFmtId="0" fontId="3" fillId="0" borderId="2" xfId="0" applyFont="1" applyBorder="1" applyAlignment="1">
      <alignment horizontal="center" vertical="center"/>
    </xf>
    <xf numFmtId="2" fontId="16" fillId="0" borderId="9" xfId="0" applyNumberFormat="1" applyFont="1" applyBorder="1" applyAlignment="1">
      <alignment horizontal="center" vertical="center"/>
    </xf>
    <xf numFmtId="2" fontId="5" fillId="2" borderId="14" xfId="0" applyNumberFormat="1" applyFont="1" applyFill="1" applyBorder="1" applyAlignment="1" applyProtection="1">
      <alignment horizontal="center" vertical="center" wrapText="1"/>
    </xf>
    <xf numFmtId="2" fontId="5" fillId="2" borderId="26" xfId="0" applyNumberFormat="1" applyFont="1" applyFill="1" applyBorder="1" applyAlignment="1" applyProtection="1">
      <alignment horizontal="center" vertical="center" wrapText="1"/>
    </xf>
    <xf numFmtId="2" fontId="5" fillId="2" borderId="27" xfId="0" applyNumberFormat="1" applyFont="1" applyFill="1" applyBorder="1" applyAlignment="1" applyProtection="1">
      <alignment horizontal="center" vertical="center" wrapText="1"/>
    </xf>
    <xf numFmtId="2" fontId="5" fillId="2" borderId="28" xfId="0" applyNumberFormat="1" applyFont="1" applyFill="1" applyBorder="1" applyAlignment="1" applyProtection="1">
      <alignment horizontal="center" vertical="center" wrapText="1"/>
    </xf>
    <xf numFmtId="2" fontId="16" fillId="0" borderId="30" xfId="0" applyNumberFormat="1" applyFont="1" applyBorder="1" applyAlignment="1">
      <alignment horizontal="center" vertical="center"/>
    </xf>
    <xf numFmtId="2" fontId="16" fillId="0" borderId="31" xfId="0" applyNumberFormat="1" applyFont="1" applyBorder="1" applyAlignment="1">
      <alignment horizontal="center" vertical="center"/>
    </xf>
    <xf numFmtId="2" fontId="16" fillId="0" borderId="32" xfId="0" applyNumberFormat="1" applyFont="1" applyBorder="1" applyAlignment="1">
      <alignment horizontal="center" vertical="center"/>
    </xf>
    <xf numFmtId="2" fontId="16" fillId="0" borderId="33" xfId="0" applyNumberFormat="1" applyFont="1" applyBorder="1" applyAlignment="1">
      <alignment horizontal="center" vertical="center"/>
    </xf>
    <xf numFmtId="2" fontId="16" fillId="0" borderId="34"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7" xfId="0" applyNumberFormat="1" applyFont="1" applyBorder="1" applyAlignment="1">
      <alignment horizontal="center" vertical="center"/>
    </xf>
    <xf numFmtId="2" fontId="16" fillId="0" borderId="29" xfId="0" applyNumberFormat="1" applyFont="1" applyBorder="1" applyAlignment="1">
      <alignment horizontal="center" vertical="center"/>
    </xf>
    <xf numFmtId="0" fontId="0" fillId="0" borderId="0" xfId="0" applyBorder="1" applyAlignment="1">
      <alignment vertical="center"/>
    </xf>
    <xf numFmtId="2" fontId="0" fillId="0" borderId="2" xfId="0" applyNumberFormat="1" applyBorder="1" applyAlignment="1">
      <alignment horizontal="center"/>
    </xf>
    <xf numFmtId="2" fontId="0" fillId="0" borderId="0" xfId="0" applyNumberFormat="1" applyBorder="1" applyAlignment="1">
      <alignment horizontal="center"/>
    </xf>
    <xf numFmtId="2" fontId="0" fillId="0" borderId="8" xfId="0" applyNumberFormat="1" applyBorder="1" applyAlignment="1">
      <alignment horizontal="center"/>
    </xf>
    <xf numFmtId="2" fontId="26" fillId="4" borderId="15" xfId="0" applyNumberFormat="1" applyFont="1" applyFill="1" applyBorder="1" applyAlignment="1">
      <alignment horizontal="center"/>
    </xf>
    <xf numFmtId="2" fontId="26" fillId="4" borderId="16" xfId="0" applyNumberFormat="1" applyFont="1" applyFill="1" applyBorder="1" applyAlignment="1">
      <alignment horizontal="center"/>
    </xf>
    <xf numFmtId="2" fontId="26" fillId="4" borderId="17" xfId="0" applyNumberFormat="1" applyFont="1" applyFill="1" applyBorder="1" applyAlignment="1">
      <alignment horizontal="center"/>
    </xf>
    <xf numFmtId="2" fontId="0" fillId="0" borderId="1" xfId="0" applyNumberFormat="1" applyBorder="1" applyAlignment="1">
      <alignment horizontal="center"/>
    </xf>
    <xf numFmtId="2" fontId="0" fillId="0" borderId="7" xfId="0" applyNumberFormat="1"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3" fillId="0" borderId="2" xfId="0" applyFont="1" applyBorder="1" applyAlignment="1">
      <alignment horizontal="center"/>
    </xf>
    <xf numFmtId="0" fontId="3" fillId="0" borderId="0" xfId="0" applyFont="1" applyBorder="1" applyAlignment="1">
      <alignment horizontal="center"/>
    </xf>
    <xf numFmtId="0" fontId="7" fillId="0" borderId="0" xfId="0" applyFont="1" applyBorder="1" applyAlignment="1">
      <alignment horizontal="center"/>
    </xf>
    <xf numFmtId="4" fontId="5" fillId="3" borderId="23" xfId="0" applyNumberFormat="1" applyFont="1" applyFill="1" applyBorder="1" applyAlignment="1" applyProtection="1">
      <alignment horizontal="center" vertical="center"/>
    </xf>
    <xf numFmtId="4" fontId="5" fillId="3" borderId="14" xfId="0" applyNumberFormat="1" applyFont="1" applyFill="1" applyBorder="1" applyAlignment="1" applyProtection="1">
      <alignment horizontal="center" vertical="center" wrapText="1"/>
    </xf>
    <xf numFmtId="4" fontId="5" fillId="3" borderId="22" xfId="0" applyNumberFormat="1" applyFont="1" applyFill="1" applyBorder="1" applyAlignment="1" applyProtection="1">
      <alignment horizontal="center" vertical="center" wrapText="1"/>
    </xf>
    <xf numFmtId="0" fontId="20" fillId="0" borderId="0" xfId="0" applyFont="1" applyFill="1" applyBorder="1" applyAlignment="1">
      <alignment horizontal="left"/>
    </xf>
    <xf numFmtId="0" fontId="2" fillId="0" borderId="5" xfId="0" applyFont="1" applyFill="1" applyBorder="1" applyAlignment="1">
      <alignment horizontal="center"/>
    </xf>
    <xf numFmtId="0" fontId="1" fillId="0" borderId="2" xfId="0" applyFont="1" applyBorder="1" applyAlignment="1">
      <alignment horizontal="left" vertical="center"/>
    </xf>
    <xf numFmtId="2" fontId="3" fillId="0" borderId="0" xfId="0" applyNumberFormat="1" applyFont="1" applyFill="1" applyBorder="1" applyAlignment="1">
      <alignment horizontal="center"/>
    </xf>
    <xf numFmtId="0" fontId="28" fillId="0" borderId="0" xfId="0" applyFont="1" applyFill="1" applyAlignment="1">
      <alignment wrapText="1"/>
    </xf>
    <xf numFmtId="0" fontId="15" fillId="0" borderId="0" xfId="0" applyFont="1" applyBorder="1" applyAlignment="1">
      <alignment horizontal="center"/>
    </xf>
    <xf numFmtId="0" fontId="15" fillId="0" borderId="0" xfId="0" applyFont="1" applyBorder="1" applyAlignment="1">
      <alignment horizontal="center" vertical="center"/>
    </xf>
    <xf numFmtId="0" fontId="3" fillId="0" borderId="2" xfId="0" applyFont="1" applyFill="1" applyBorder="1" applyAlignment="1">
      <alignment horizontal="center" vertical="center"/>
    </xf>
    <xf numFmtId="0" fontId="18" fillId="0" borderId="0" xfId="0" applyFont="1" applyBorder="1" applyAlignment="1">
      <alignment vertical="center" wrapText="1"/>
    </xf>
    <xf numFmtId="0" fontId="12" fillId="0" borderId="2" xfId="0" applyFont="1" applyBorder="1" applyAlignment="1">
      <alignment horizontal="center" vertical="center"/>
    </xf>
    <xf numFmtId="0" fontId="27" fillId="0" borderId="0" xfId="0" applyFont="1" applyBorder="1" applyAlignment="1"/>
    <xf numFmtId="0" fontId="25" fillId="0" borderId="8" xfId="0" applyFont="1" applyBorder="1"/>
    <xf numFmtId="0" fontId="7" fillId="0" borderId="8" xfId="0" applyFont="1" applyBorder="1" applyAlignment="1">
      <alignment horizontal="center"/>
    </xf>
    <xf numFmtId="0" fontId="0" fillId="0" borderId="3" xfId="0" applyBorder="1"/>
    <xf numFmtId="0" fontId="18" fillId="0" borderId="0" xfId="0" applyFont="1" applyBorder="1" applyAlignment="1">
      <alignment horizontal="center" vertical="center" wrapText="1"/>
    </xf>
    <xf numFmtId="0" fontId="27" fillId="0" borderId="0" xfId="0" applyFont="1" applyBorder="1" applyAlignment="1">
      <alignment horizontal="center" vertical="center"/>
    </xf>
    <xf numFmtId="0" fontId="18" fillId="0" borderId="2" xfId="0" applyFont="1" applyBorder="1" applyAlignment="1">
      <alignment vertical="center" wrapText="1"/>
    </xf>
    <xf numFmtId="0" fontId="25" fillId="0" borderId="2" xfId="0" applyFont="1" applyBorder="1"/>
    <xf numFmtId="2" fontId="8" fillId="0" borderId="2" xfId="0" applyNumberFormat="1" applyFont="1" applyBorder="1" applyAlignment="1">
      <alignment horizontal="center" vertical="center"/>
    </xf>
    <xf numFmtId="0" fontId="27" fillId="0" borderId="2" xfId="0" applyFont="1" applyBorder="1" applyAlignment="1">
      <alignment horizontal="center" vertical="center"/>
    </xf>
    <xf numFmtId="0" fontId="7" fillId="0" borderId="2" xfId="0" applyFont="1" applyBorder="1" applyAlignment="1">
      <alignment horizontal="center"/>
    </xf>
    <xf numFmtId="0" fontId="15" fillId="0" borderId="2" xfId="0" applyFont="1" applyBorder="1" applyAlignment="1"/>
    <xf numFmtId="0" fontId="15" fillId="0" borderId="0" xfId="0" applyFont="1" applyBorder="1" applyAlignment="1"/>
    <xf numFmtId="0" fontId="15" fillId="0" borderId="8" xfId="0" applyFont="1" applyBorder="1" applyAlignment="1"/>
    <xf numFmtId="0" fontId="3" fillId="0" borderId="6" xfId="0" applyFont="1" applyBorder="1" applyAlignment="1">
      <alignment horizontal="center"/>
    </xf>
    <xf numFmtId="0" fontId="0" fillId="0" borderId="38" xfId="0" applyBorder="1" applyAlignment="1">
      <alignment horizontal="center"/>
    </xf>
    <xf numFmtId="2" fontId="5" fillId="2" borderId="23" xfId="0" applyNumberFormat="1" applyFont="1" applyFill="1" applyBorder="1" applyAlignment="1" applyProtection="1">
      <alignment horizontal="center" vertical="center" wrapText="1"/>
    </xf>
    <xf numFmtId="2" fontId="5" fillId="2" borderId="39" xfId="0" applyNumberFormat="1" applyFont="1" applyFill="1" applyBorder="1" applyAlignment="1" applyProtection="1">
      <alignment horizontal="center" vertical="center" wrapText="1"/>
    </xf>
    <xf numFmtId="2" fontId="5" fillId="2" borderId="24" xfId="0" applyNumberFormat="1" applyFont="1" applyFill="1" applyBorder="1" applyAlignment="1" applyProtection="1">
      <alignment horizontal="center" vertical="center" wrapText="1"/>
    </xf>
    <xf numFmtId="0" fontId="30" fillId="0" borderId="0" xfId="0" applyFont="1" applyBorder="1" applyAlignment="1">
      <alignment wrapText="1"/>
    </xf>
    <xf numFmtId="0" fontId="30" fillId="0" borderId="8" xfId="0" applyFont="1" applyBorder="1" applyAlignment="1">
      <alignment wrapText="1"/>
    </xf>
    <xf numFmtId="0" fontId="35" fillId="0" borderId="0" xfId="0" applyFont="1"/>
    <xf numFmtId="164" fontId="36" fillId="0" borderId="19" xfId="0" applyNumberFormat="1" applyFont="1" applyBorder="1" applyAlignment="1">
      <alignment horizontal="center" vertical="center"/>
    </xf>
    <xf numFmtId="164" fontId="36" fillId="0" borderId="17" xfId="0" applyNumberFormat="1" applyFont="1" applyBorder="1" applyAlignment="1">
      <alignment horizontal="center" vertical="center"/>
    </xf>
    <xf numFmtId="164" fontId="36" fillId="0" borderId="25" xfId="0" applyNumberFormat="1" applyFont="1" applyBorder="1" applyAlignment="1">
      <alignment horizontal="center" vertical="center"/>
    </xf>
    <xf numFmtId="164" fontId="28" fillId="0" borderId="15" xfId="0" applyNumberFormat="1" applyFont="1" applyBorder="1" applyAlignment="1">
      <alignment horizontal="center" vertical="center"/>
    </xf>
    <xf numFmtId="164" fontId="28" fillId="0" borderId="17" xfId="0" applyNumberFormat="1" applyFont="1" applyBorder="1" applyAlignment="1">
      <alignment horizontal="center" vertical="center"/>
    </xf>
    <xf numFmtId="0" fontId="15" fillId="0" borderId="0" xfId="0" applyFont="1" applyBorder="1" applyAlignment="1">
      <alignment horizontal="left"/>
    </xf>
    <xf numFmtId="165" fontId="15" fillId="0" borderId="0" xfId="0" applyNumberFormat="1" applyFont="1" applyBorder="1" applyAlignment="1">
      <alignment horizontal="center" vertical="center"/>
    </xf>
    <xf numFmtId="165" fontId="15" fillId="0" borderId="8" xfId="0" applyNumberFormat="1" applyFont="1" applyBorder="1" applyAlignment="1">
      <alignment horizontal="center" vertical="center"/>
    </xf>
    <xf numFmtId="165" fontId="15" fillId="0" borderId="2" xfId="0" applyNumberFormat="1" applyFont="1" applyBorder="1" applyAlignment="1">
      <alignment horizontal="center" vertical="center"/>
    </xf>
    <xf numFmtId="0" fontId="28" fillId="0" borderId="5" xfId="0" applyFont="1" applyFill="1" applyBorder="1" applyAlignment="1">
      <alignment wrapText="1"/>
    </xf>
    <xf numFmtId="0" fontId="28" fillId="0" borderId="2" xfId="0" applyFont="1" applyFill="1" applyBorder="1" applyAlignment="1">
      <alignment wrapText="1"/>
    </xf>
    <xf numFmtId="0" fontId="28" fillId="0" borderId="0" xfId="0" applyFont="1" applyFill="1" applyBorder="1" applyAlignment="1">
      <alignment wrapText="1"/>
    </xf>
    <xf numFmtId="0" fontId="28" fillId="0" borderId="4" xfId="0" applyFont="1" applyFill="1" applyBorder="1" applyAlignment="1"/>
    <xf numFmtId="0" fontId="32" fillId="0" borderId="5" xfId="0" applyFont="1" applyBorder="1" applyAlignment="1"/>
    <xf numFmtId="0" fontId="15" fillId="0" borderId="2" xfId="0" applyFont="1" applyBorder="1" applyAlignment="1">
      <alignment horizontal="center" vertical="center"/>
    </xf>
    <xf numFmtId="2" fontId="26" fillId="3" borderId="15" xfId="0" applyNumberFormat="1" applyFont="1" applyFill="1" applyBorder="1" applyAlignment="1">
      <alignment horizontal="center"/>
    </xf>
    <xf numFmtId="2" fontId="26" fillId="3" borderId="16" xfId="0" applyNumberFormat="1" applyFont="1" applyFill="1" applyBorder="1" applyAlignment="1">
      <alignment horizontal="center"/>
    </xf>
    <xf numFmtId="2" fontId="26" fillId="3" borderId="17" xfId="0" applyNumberFormat="1" applyFont="1" applyFill="1" applyBorder="1" applyAlignment="1">
      <alignment horizontal="center"/>
    </xf>
    <xf numFmtId="2" fontId="3" fillId="0" borderId="9" xfId="0" applyNumberFormat="1" applyFont="1" applyBorder="1" applyAlignment="1">
      <alignment horizontal="center"/>
    </xf>
    <xf numFmtId="2" fontId="14" fillId="3" borderId="9" xfId="0" applyNumberFormat="1" applyFont="1" applyFill="1" applyBorder="1" applyAlignment="1">
      <alignment horizontal="center"/>
    </xf>
    <xf numFmtId="2" fontId="14" fillId="5" borderId="9" xfId="0" applyNumberFormat="1" applyFont="1" applyFill="1" applyBorder="1" applyAlignment="1">
      <alignment horizontal="center"/>
    </xf>
    <xf numFmtId="2" fontId="3" fillId="0" borderId="40" xfId="0" applyNumberFormat="1" applyFont="1" applyBorder="1" applyAlignment="1">
      <alignment horizontal="center"/>
    </xf>
    <xf numFmtId="2" fontId="3" fillId="0" borderId="41" xfId="0" applyNumberFormat="1" applyFont="1" applyBorder="1" applyAlignment="1">
      <alignment horizontal="center"/>
    </xf>
    <xf numFmtId="2" fontId="14" fillId="3" borderId="42" xfId="0" applyNumberFormat="1" applyFont="1" applyFill="1" applyBorder="1" applyAlignment="1">
      <alignment horizontal="center"/>
    </xf>
    <xf numFmtId="2" fontId="14" fillId="5" borderId="42" xfId="0" applyNumberFormat="1" applyFont="1" applyFill="1" applyBorder="1" applyAlignment="1">
      <alignment horizontal="center"/>
    </xf>
    <xf numFmtId="0" fontId="18" fillId="0" borderId="5" xfId="0" applyFont="1" applyBorder="1" applyAlignment="1">
      <alignment vertical="center"/>
    </xf>
    <xf numFmtId="0" fontId="18" fillId="0" borderId="6" xfId="0" applyFont="1" applyBorder="1" applyAlignment="1">
      <alignment vertical="center"/>
    </xf>
    <xf numFmtId="0" fontId="37" fillId="0" borderId="0" xfId="0" applyFont="1" applyBorder="1"/>
    <xf numFmtId="0" fontId="29" fillId="0" borderId="4" xfId="0" applyFont="1" applyFill="1" applyBorder="1"/>
    <xf numFmtId="0" fontId="31" fillId="0" borderId="0" xfId="0" applyFont="1" applyBorder="1" applyAlignment="1"/>
    <xf numFmtId="2" fontId="8" fillId="0" borderId="44" xfId="0" applyNumberFormat="1" applyFont="1" applyBorder="1" applyAlignment="1">
      <alignment horizontal="center" vertical="center"/>
    </xf>
    <xf numFmtId="0" fontId="27" fillId="0" borderId="43" xfId="0" applyFont="1" applyBorder="1" applyAlignment="1" applyProtection="1">
      <alignment horizontal="center" vertical="center"/>
      <protection locked="0"/>
    </xf>
    <xf numFmtId="2" fontId="8" fillId="0" borderId="8" xfId="0" applyNumberFormat="1" applyFont="1" applyBorder="1" applyAlignment="1" applyProtection="1">
      <alignment horizontal="center" vertical="center"/>
      <protection hidden="1"/>
    </xf>
    <xf numFmtId="0" fontId="27" fillId="0" borderId="8" xfId="0" applyFont="1" applyBorder="1" applyAlignment="1" applyProtection="1">
      <alignment horizontal="center" vertical="center"/>
      <protection hidden="1"/>
    </xf>
    <xf numFmtId="4" fontId="5" fillId="3" borderId="13" xfId="0" applyNumberFormat="1" applyFont="1" applyFill="1" applyBorder="1" applyAlignment="1" applyProtection="1">
      <alignment horizontal="center" vertical="center" wrapText="1"/>
      <protection hidden="1"/>
    </xf>
    <xf numFmtId="2" fontId="5" fillId="2" borderId="10" xfId="0" applyNumberFormat="1" applyFont="1" applyFill="1" applyBorder="1" applyAlignment="1" applyProtection="1">
      <alignment horizontal="center" wrapText="1"/>
      <protection locked="0"/>
    </xf>
    <xf numFmtId="0" fontId="18" fillId="0" borderId="0"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0" xfId="0" applyFont="1" applyBorder="1" applyAlignment="1">
      <alignment horizontal="center" vertical="center" wrapText="1"/>
    </xf>
    <xf numFmtId="0" fontId="38" fillId="0" borderId="8" xfId="0" applyFont="1" applyBorder="1" applyAlignment="1">
      <alignment horizontal="center" vertical="center" wrapText="1"/>
    </xf>
    <xf numFmtId="0" fontId="34" fillId="0" borderId="43" xfId="0" applyFont="1" applyBorder="1" applyAlignment="1">
      <alignment horizontal="center" wrapText="1"/>
    </xf>
    <xf numFmtId="0" fontId="34" fillId="0" borderId="45" xfId="0" applyFont="1" applyBorder="1" applyAlignment="1">
      <alignment horizontal="center" wrapText="1"/>
    </xf>
    <xf numFmtId="0" fontId="35" fillId="0" borderId="15" xfId="0" applyFont="1" applyBorder="1" applyAlignment="1">
      <alignment horizontal="center"/>
    </xf>
    <xf numFmtId="0" fontId="35" fillId="0" borderId="16" xfId="0" applyFont="1" applyBorder="1" applyAlignment="1">
      <alignment horizontal="center"/>
    </xf>
    <xf numFmtId="0" fontId="35" fillId="0" borderId="17" xfId="0" applyFont="1" applyBorder="1" applyAlignment="1">
      <alignment horizontal="center"/>
    </xf>
    <xf numFmtId="165" fontId="28" fillId="0" borderId="4" xfId="0" applyNumberFormat="1" applyFont="1" applyBorder="1" applyAlignment="1">
      <alignment horizontal="center"/>
    </xf>
    <xf numFmtId="165" fontId="28" fillId="0" borderId="3" xfId="0" applyNumberFormat="1" applyFont="1" applyBorder="1" applyAlignment="1">
      <alignment horizontal="center"/>
    </xf>
    <xf numFmtId="165" fontId="28" fillId="0" borderId="6" xfId="0" applyNumberFormat="1" applyFont="1" applyBorder="1" applyAlignment="1">
      <alignment horizontal="center"/>
    </xf>
    <xf numFmtId="165" fontId="28" fillId="0" borderId="7" xfId="0" applyNumberFormat="1" applyFont="1" applyBorder="1" applyAlignment="1">
      <alignment horizontal="center"/>
    </xf>
    <xf numFmtId="165" fontId="28" fillId="0" borderId="5" xfId="0" applyNumberFormat="1" applyFont="1" applyBorder="1" applyAlignment="1">
      <alignment horizontal="center"/>
    </xf>
    <xf numFmtId="165" fontId="28" fillId="0" borderId="1" xfId="0" applyNumberFormat="1" applyFont="1" applyBorder="1" applyAlignment="1">
      <alignment horizontal="center"/>
    </xf>
    <xf numFmtId="0" fontId="28" fillId="0" borderId="4" xfId="0" applyFont="1" applyBorder="1" applyAlignment="1">
      <alignment horizont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3" xfId="0" applyFont="1" applyBorder="1" applyAlignment="1">
      <alignment horizontal="center"/>
    </xf>
    <xf numFmtId="0" fontId="28" fillId="0" borderId="1" xfId="0" applyFont="1" applyBorder="1" applyAlignment="1">
      <alignment horizontal="center"/>
    </xf>
    <xf numFmtId="0" fontId="28" fillId="0" borderId="7" xfId="0" applyFont="1" applyBorder="1" applyAlignment="1">
      <alignment horizontal="center"/>
    </xf>
    <xf numFmtId="0" fontId="15" fillId="0" borderId="15" xfId="0" applyFont="1" applyBorder="1" applyAlignment="1">
      <alignment horizontal="center"/>
    </xf>
    <xf numFmtId="0" fontId="15" fillId="0" borderId="17" xfId="0" applyFont="1" applyBorder="1" applyAlignment="1">
      <alignment horizontal="center"/>
    </xf>
    <xf numFmtId="0" fontId="15" fillId="0" borderId="16" xfId="0" applyFont="1" applyBorder="1" applyAlignment="1">
      <alignment horizontal="center"/>
    </xf>
    <xf numFmtId="0" fontId="36" fillId="0" borderId="3" xfId="0" applyFont="1" applyBorder="1" applyAlignment="1">
      <alignment horizontal="center" vertical="center"/>
    </xf>
    <xf numFmtId="0" fontId="36" fillId="0" borderId="1" xfId="0" applyFont="1" applyBorder="1" applyAlignment="1">
      <alignment horizontal="center" vertical="center"/>
    </xf>
    <xf numFmtId="0" fontId="36" fillId="0" borderId="17" xfId="0" applyFont="1" applyBorder="1" applyAlignment="1">
      <alignment horizontal="center" vertical="center"/>
    </xf>
    <xf numFmtId="0" fontId="7" fillId="0" borderId="2" xfId="0" applyFont="1" applyBorder="1" applyAlignment="1">
      <alignment horizontal="center" vertical="center"/>
    </xf>
    <xf numFmtId="0" fontId="7" fillId="0" borderId="43" xfId="0" applyFont="1" applyBorder="1" applyAlignment="1">
      <alignment horizontal="center" vertical="center"/>
    </xf>
    <xf numFmtId="0" fontId="28"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17" xfId="0" applyFont="1" applyBorder="1" applyAlignment="1">
      <alignment horizontal="center" vertical="center"/>
    </xf>
    <xf numFmtId="0" fontId="15" fillId="0" borderId="2" xfId="0" applyFont="1" applyBorder="1" applyAlignment="1">
      <alignment horizontal="center" vertical="center"/>
    </xf>
    <xf numFmtId="0" fontId="15" fillId="0" borderId="0" xfId="0" applyFont="1" applyBorder="1" applyAlignment="1">
      <alignment horizontal="center" vertical="center"/>
    </xf>
    <xf numFmtId="0" fontId="15" fillId="0" borderId="8" xfId="0" applyFont="1" applyBorder="1" applyAlignment="1">
      <alignment horizontal="center" vertical="center"/>
    </xf>
    <xf numFmtId="2" fontId="5" fillId="2" borderId="46" xfId="0" applyNumberFormat="1" applyFont="1" applyFill="1" applyBorder="1" applyAlignment="1" applyProtection="1">
      <alignment horizontal="center" vertical="center" wrapText="1"/>
    </xf>
    <xf numFmtId="2" fontId="5" fillId="2" borderId="47" xfId="0" applyNumberFormat="1" applyFont="1" applyFill="1" applyBorder="1" applyAlignment="1" applyProtection="1">
      <alignment horizontal="center" vertical="center" wrapText="1"/>
    </xf>
    <xf numFmtId="2" fontId="5" fillId="2" borderId="47" xfId="0" applyNumberFormat="1" applyFont="1" applyFill="1" applyBorder="1" applyAlignment="1" applyProtection="1">
      <alignment horizontal="center" wrapText="1"/>
      <protection locked="0"/>
    </xf>
    <xf numFmtId="0" fontId="0" fillId="0" borderId="4" xfId="0" applyBorder="1" applyAlignment="1">
      <alignment horizontal="center"/>
    </xf>
    <xf numFmtId="2" fontId="5" fillId="2" borderId="12" xfId="0" applyNumberFormat="1" applyFont="1" applyFill="1" applyBorder="1" applyAlignment="1" applyProtection="1">
      <alignment horizontal="center" vertical="center" wrapText="1"/>
    </xf>
    <xf numFmtId="2" fontId="5" fillId="2" borderId="48" xfId="0" applyNumberFormat="1" applyFont="1" applyFill="1" applyBorder="1" applyAlignment="1" applyProtection="1">
      <alignment horizontal="center" vertical="center" wrapText="1"/>
    </xf>
    <xf numFmtId="2" fontId="5" fillId="2" borderId="49" xfId="0" applyNumberFormat="1" applyFont="1" applyFill="1" applyBorder="1" applyAlignment="1" applyProtection="1">
      <alignment horizontal="center" vertical="center" wrapText="1"/>
      <protection locked="0"/>
    </xf>
    <xf numFmtId="2" fontId="5" fillId="2" borderId="50" xfId="0" applyNumberFormat="1" applyFont="1" applyFill="1" applyBorder="1" applyAlignment="1" applyProtection="1">
      <alignment horizontal="center" wrapText="1"/>
      <protection locked="0"/>
    </xf>
    <xf numFmtId="2" fontId="5" fillId="2" borderId="51" xfId="0" applyNumberFormat="1" applyFont="1" applyFill="1" applyBorder="1" applyAlignment="1" applyProtection="1">
      <alignment horizontal="center" vertical="center" wrapText="1"/>
    </xf>
    <xf numFmtId="2" fontId="5" fillId="2" borderId="52" xfId="0" applyNumberFormat="1" applyFont="1" applyFill="1" applyBorder="1" applyAlignment="1" applyProtection="1">
      <alignment horizontal="center" wrapText="1"/>
      <protection locked="0"/>
    </xf>
    <xf numFmtId="2" fontId="5" fillId="2" borderId="49" xfId="0" applyNumberFormat="1" applyFont="1" applyFill="1" applyBorder="1" applyAlignment="1" applyProtection="1">
      <alignment horizontal="center" wrapText="1"/>
      <protection locked="0"/>
    </xf>
    <xf numFmtId="0" fontId="30" fillId="0" borderId="0" xfId="0" applyFont="1" applyBorder="1" applyAlignment="1"/>
    <xf numFmtId="0" fontId="30" fillId="0" borderId="0" xfId="0" applyFont="1" applyBorder="1" applyAlignment="1">
      <alignment horizontal="left"/>
    </xf>
  </cellXfs>
  <cellStyles count="1">
    <cellStyle name="Normal" xfId="0" builtinId="0"/>
  </cellStyles>
  <dxfs count="0"/>
  <tableStyles count="0" defaultTableStyle="TableStyleMedium2" defaultPivotStyle="PivotStyleLight16"/>
  <colors>
    <mruColors>
      <color rgb="FFF4F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070384905068551E-2"/>
          <c:y val="0.2232935892137215"/>
          <c:w val="0.62061647212172355"/>
          <c:h val="0.59290189052954856"/>
        </c:manualLayout>
      </c:layout>
      <c:scatterChart>
        <c:scatterStyle val="lineMarker"/>
        <c:varyColors val="0"/>
        <c:ser>
          <c:idx val="0"/>
          <c:order val="0"/>
          <c:tx>
            <c:v>(x1,t)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'Multivariate LR x3 is redundant'!$E$11:$E$30</c:f>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f>'Multivariate LR x3 is redundant'!$H$11:$H$30</c:f>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0-FF96-4AD6-9F93-1862A2135CD3}"/>
            </c:ext>
          </c:extLst>
        </c:ser>
        <c:ser>
          <c:idx val="1"/>
          <c:order val="1"/>
          <c:tx>
            <c:v>(x2,t)</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'Multivariate LR x3 is redundant'!$F$11:$F$30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xVal>
          <c:yVal>
            <c:numRef>
              <c:f>'Multivariate LR x3 is redundant'!$H$11:$H$30</c:f>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1-FF96-4AD6-9F93-1862A2135CD3}"/>
            </c:ext>
          </c:extLst>
        </c:ser>
        <c:ser>
          <c:idx val="2"/>
          <c:order val="2"/>
          <c:tx>
            <c:v>(x3,t)</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'Multivariate LR x3 is redundant'!$G$11:$G$30</c:f>
              <c:numCache>
                <c:formatCode>0.00</c:formatCode>
                <c:ptCount val="20"/>
                <c:pt idx="0">
                  <c:v>1.2860449195871833</c:v>
                </c:pt>
                <c:pt idx="1">
                  <c:v>2.5839076575070679</c:v>
                </c:pt>
                <c:pt idx="2">
                  <c:v>2.7332626108191072</c:v>
                </c:pt>
                <c:pt idx="3">
                  <c:v>4.2452456298179868</c:v>
                </c:pt>
                <c:pt idx="4">
                  <c:v>1.8598202475409531</c:v>
                </c:pt>
                <c:pt idx="5">
                  <c:v>2.2566143928118043</c:v>
                </c:pt>
                <c:pt idx="6">
                  <c:v>3.1153655952125394</c:v>
                </c:pt>
                <c:pt idx="7">
                  <c:v>2.1222922272232667</c:v>
                </c:pt>
                <c:pt idx="8">
                  <c:v>3.3277680464501405</c:v>
                </c:pt>
                <c:pt idx="9">
                  <c:v>4.5500694462288225</c:v>
                </c:pt>
                <c:pt idx="10">
                  <c:v>3.0555969792600894</c:v>
                </c:pt>
                <c:pt idx="11">
                  <c:v>0.41357824953781874</c:v>
                </c:pt>
                <c:pt idx="12">
                  <c:v>0.71563209656974325</c:v>
                </c:pt>
                <c:pt idx="13">
                  <c:v>1.9622124828581993</c:v>
                </c:pt>
                <c:pt idx="14">
                  <c:v>3.3758248616406612</c:v>
                </c:pt>
                <c:pt idx="15">
                  <c:v>1.6496509749002408</c:v>
                </c:pt>
                <c:pt idx="16">
                  <c:v>2.4177127395481568</c:v>
                </c:pt>
                <c:pt idx="17">
                  <c:v>3.5352929345488788</c:v>
                </c:pt>
                <c:pt idx="18">
                  <c:v>3.8686723648158354</c:v>
                </c:pt>
                <c:pt idx="19">
                  <c:v>3.1053613059541121</c:v>
                </c:pt>
              </c:numCache>
            </c:numRef>
          </c:xVal>
          <c:yVal>
            <c:numRef>
              <c:f>'Multivariate LR x3 is redundant'!$H$11:$H$30</c:f>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2-FF96-4AD6-9F93-1862A2135CD3}"/>
            </c:ext>
          </c:extLst>
        </c:ser>
        <c:dLbls>
          <c:showLegendKey val="0"/>
          <c:showVal val="0"/>
          <c:showCatName val="0"/>
          <c:showSerName val="0"/>
          <c:showPercent val="0"/>
          <c:showBubbleSize val="0"/>
        </c:dLbls>
        <c:axId val="934265784"/>
        <c:axId val="934267752"/>
      </c:scatterChart>
      <c:valAx>
        <c:axId val="934265784"/>
        <c:scaling>
          <c:orientation val="minMax"/>
        </c:scaling>
        <c:delete val="0"/>
        <c:axPos val="b"/>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267752"/>
        <c:crosses val="autoZero"/>
        <c:crossBetween val="midCat"/>
      </c:valAx>
      <c:valAx>
        <c:axId val="934267752"/>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265784"/>
        <c:crosses val="autoZero"/>
        <c:crossBetween val="midCat"/>
      </c:valAx>
      <c:spPr>
        <a:noFill/>
        <a:ln>
          <a:noFill/>
        </a:ln>
        <a:effectLst/>
      </c:spPr>
    </c:plotArea>
    <c:legend>
      <c:legendPos val="r"/>
      <c:layout>
        <c:manualLayout>
          <c:xMode val="edge"/>
          <c:yMode val="edge"/>
          <c:x val="0.69738288530280168"/>
          <c:y val="0.15605916684595866"/>
          <c:w val="0.30261711469719832"/>
          <c:h val="0.76223247073149669"/>
        </c:manualLayout>
      </c:layout>
      <c:overlay val="0"/>
      <c:spPr>
        <a:noFill/>
        <a:ln>
          <a:solidFill>
            <a:schemeClr val="accent1"/>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(x1,x2)</c:v>
          </c:tx>
          <c:spPr>
            <a:ln w="25400" cap="rnd" cmpd="sng" algn="ctr">
              <a:noFill/>
              <a:prstDash val="solid"/>
              <a:round/>
            </a:ln>
            <a:effectLst/>
          </c:spPr>
          <c:marker>
            <c:symbol val="circle"/>
            <c:size val="5"/>
            <c:spPr>
              <a:solidFill>
                <a:schemeClr val="accent6"/>
              </a:solidFill>
              <a:ln w="6350" cap="flat" cmpd="sng" algn="ctr">
                <a:solidFill>
                  <a:schemeClr val="accent6"/>
                </a:solidFill>
                <a:prstDash val="solid"/>
                <a:round/>
              </a:ln>
              <a:effectLst/>
            </c:spPr>
          </c:marker>
          <c:xVal>
            <c:numRef>
              <c:f>'Multivariate LR x3 is redundant'!$E$11:$E$30</c:f>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f>'Multivariate LR x3 is redundant'!$F$11:$F$30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yVal>
          <c:smooth val="0"/>
          <c:extLst>
            <c:ext xmlns:c16="http://schemas.microsoft.com/office/drawing/2014/chart" uri="{C3380CC4-5D6E-409C-BE32-E72D297353CC}">
              <c16:uniqueId val="{00000001-0FF4-4BC8-80CA-EADA51114DC4}"/>
            </c:ext>
          </c:extLst>
        </c:ser>
        <c:ser>
          <c:idx val="1"/>
          <c:order val="1"/>
          <c:tx>
            <c:v>(x1,x3)</c:v>
          </c:tx>
          <c:spPr>
            <a:ln w="19050" cap="rnd" cmpd="sng" algn="ctr">
              <a:noFill/>
              <a:prstDash val="solid"/>
              <a:round/>
            </a:ln>
            <a:effectLst/>
          </c:spPr>
          <c:marker>
            <c:symbol val="circle"/>
            <c:size val="5"/>
            <c:spPr>
              <a:solidFill>
                <a:schemeClr val="accent5"/>
              </a:solidFill>
              <a:ln w="6350" cap="flat" cmpd="sng" algn="ctr">
                <a:solidFill>
                  <a:schemeClr val="accent5"/>
                </a:solidFill>
                <a:prstDash val="solid"/>
                <a:round/>
              </a:ln>
              <a:effectLst/>
            </c:spPr>
          </c:marker>
          <c:xVal>
            <c:numRef>
              <c:f>'Multivariate LR x3 is redundant'!$E$11:$E$30</c:f>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f>'Multivariate LR x3 is redundant'!$G$11:$G$30</c:f>
              <c:numCache>
                <c:formatCode>0.00</c:formatCode>
                <c:ptCount val="20"/>
                <c:pt idx="0">
                  <c:v>1.2860449195871833</c:v>
                </c:pt>
                <c:pt idx="1">
                  <c:v>2.5839076575070679</c:v>
                </c:pt>
                <c:pt idx="2">
                  <c:v>2.7332626108191072</c:v>
                </c:pt>
                <c:pt idx="3">
                  <c:v>4.2452456298179868</c:v>
                </c:pt>
                <c:pt idx="4">
                  <c:v>1.8598202475409531</c:v>
                </c:pt>
                <c:pt idx="5">
                  <c:v>2.2566143928118043</c:v>
                </c:pt>
                <c:pt idx="6">
                  <c:v>3.1153655952125394</c:v>
                </c:pt>
                <c:pt idx="7">
                  <c:v>2.1222922272232667</c:v>
                </c:pt>
                <c:pt idx="8">
                  <c:v>3.3277680464501405</c:v>
                </c:pt>
                <c:pt idx="9">
                  <c:v>4.5500694462288225</c:v>
                </c:pt>
                <c:pt idx="10">
                  <c:v>3.0555969792600894</c:v>
                </c:pt>
                <c:pt idx="11">
                  <c:v>0.41357824953781874</c:v>
                </c:pt>
                <c:pt idx="12">
                  <c:v>0.71563209656974325</c:v>
                </c:pt>
                <c:pt idx="13">
                  <c:v>1.9622124828581993</c:v>
                </c:pt>
                <c:pt idx="14">
                  <c:v>3.3758248616406612</c:v>
                </c:pt>
                <c:pt idx="15">
                  <c:v>1.6496509749002408</c:v>
                </c:pt>
                <c:pt idx="16">
                  <c:v>2.4177127395481568</c:v>
                </c:pt>
                <c:pt idx="17">
                  <c:v>3.5352929345488788</c:v>
                </c:pt>
                <c:pt idx="18">
                  <c:v>3.8686723648158354</c:v>
                </c:pt>
                <c:pt idx="19">
                  <c:v>3.1053613059541121</c:v>
                </c:pt>
              </c:numCache>
            </c:numRef>
          </c:yVal>
          <c:smooth val="0"/>
          <c:extLst>
            <c:ext xmlns:c16="http://schemas.microsoft.com/office/drawing/2014/chart" uri="{C3380CC4-5D6E-409C-BE32-E72D297353CC}">
              <c16:uniqueId val="{00000003-0FF4-4BC8-80CA-EADA51114DC4}"/>
            </c:ext>
          </c:extLst>
        </c:ser>
        <c:ser>
          <c:idx val="2"/>
          <c:order val="2"/>
          <c:tx>
            <c:v>(x2,x3)</c:v>
          </c:tx>
          <c:spPr>
            <a:ln w="19050" cap="rnd" cmpd="sng" algn="ctr">
              <a:noFill/>
              <a:prstDash val="solid"/>
              <a:round/>
            </a:ln>
            <a:effectLst/>
          </c:spPr>
          <c:marker>
            <c:spPr>
              <a:solidFill>
                <a:schemeClr val="accent4"/>
              </a:solidFill>
              <a:ln w="6350" cap="flat" cmpd="sng" algn="ctr">
                <a:solidFill>
                  <a:schemeClr val="accent4"/>
                </a:solidFill>
                <a:prstDash val="solid"/>
                <a:round/>
              </a:ln>
              <a:effectLst/>
            </c:spPr>
          </c:marker>
          <c:dPt>
            <c:idx val="3"/>
            <c:marker>
              <c:spPr>
                <a:solidFill>
                  <a:schemeClr val="accent6"/>
                </a:solidFill>
                <a:ln w="9525" cap="flat" cmpd="sng" algn="ctr">
                  <a:solidFill>
                    <a:schemeClr val="accent6"/>
                  </a:solidFill>
                  <a:prstDash val="solid"/>
                  <a:round/>
                </a:ln>
                <a:effectLst/>
              </c:spPr>
            </c:marker>
            <c:bubble3D val="0"/>
            <c:extLst>
              <c:ext xmlns:c16="http://schemas.microsoft.com/office/drawing/2014/chart" uri="{C3380CC4-5D6E-409C-BE32-E72D297353CC}">
                <c16:uniqueId val="{00000009-0FF4-4BC8-80CA-EADA51114DC4}"/>
              </c:ext>
            </c:extLst>
          </c:dPt>
          <c:xVal>
            <c:numRef>
              <c:f>'Multivariate LR x3 is redundant'!$F$11:$F$30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xVal>
          <c:yVal>
            <c:numRef>
              <c:f>'Multivariate LR x3 is redundant'!$G$11:$G$30</c:f>
              <c:numCache>
                <c:formatCode>0.00</c:formatCode>
                <c:ptCount val="20"/>
                <c:pt idx="0">
                  <c:v>1.2860449195871833</c:v>
                </c:pt>
                <c:pt idx="1">
                  <c:v>2.5839076575070679</c:v>
                </c:pt>
                <c:pt idx="2">
                  <c:v>2.7332626108191072</c:v>
                </c:pt>
                <c:pt idx="3">
                  <c:v>4.2452456298179868</c:v>
                </c:pt>
                <c:pt idx="4">
                  <c:v>1.8598202475409531</c:v>
                </c:pt>
                <c:pt idx="5">
                  <c:v>2.2566143928118043</c:v>
                </c:pt>
                <c:pt idx="6">
                  <c:v>3.1153655952125394</c:v>
                </c:pt>
                <c:pt idx="7">
                  <c:v>2.1222922272232667</c:v>
                </c:pt>
                <c:pt idx="8">
                  <c:v>3.3277680464501405</c:v>
                </c:pt>
                <c:pt idx="9">
                  <c:v>4.5500694462288225</c:v>
                </c:pt>
                <c:pt idx="10">
                  <c:v>3.0555969792600894</c:v>
                </c:pt>
                <c:pt idx="11">
                  <c:v>0.41357824953781874</c:v>
                </c:pt>
                <c:pt idx="12">
                  <c:v>0.71563209656974325</c:v>
                </c:pt>
                <c:pt idx="13">
                  <c:v>1.9622124828581993</c:v>
                </c:pt>
                <c:pt idx="14">
                  <c:v>3.3758248616406612</c:v>
                </c:pt>
                <c:pt idx="15">
                  <c:v>1.6496509749002408</c:v>
                </c:pt>
                <c:pt idx="16">
                  <c:v>2.4177127395481568</c:v>
                </c:pt>
                <c:pt idx="17">
                  <c:v>3.5352929345488788</c:v>
                </c:pt>
                <c:pt idx="18">
                  <c:v>3.8686723648158354</c:v>
                </c:pt>
                <c:pt idx="19">
                  <c:v>3.1053613059541121</c:v>
                </c:pt>
              </c:numCache>
            </c:numRef>
          </c:yVal>
          <c:smooth val="0"/>
          <c:extLst>
            <c:ext xmlns:c16="http://schemas.microsoft.com/office/drawing/2014/chart" uri="{C3380CC4-5D6E-409C-BE32-E72D297353CC}">
              <c16:uniqueId val="{00000005-0FF4-4BC8-80CA-EADA51114DC4}"/>
            </c:ext>
          </c:extLst>
        </c:ser>
        <c:dLbls>
          <c:showLegendKey val="0"/>
          <c:showVal val="0"/>
          <c:showCatName val="0"/>
          <c:showSerName val="0"/>
          <c:showPercent val="0"/>
          <c:showBubbleSize val="0"/>
        </c:dLbls>
        <c:axId val="1175889152"/>
        <c:axId val="1175891448"/>
      </c:scatterChart>
      <c:valAx>
        <c:axId val="1175889152"/>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5891448"/>
        <c:crosses val="autoZero"/>
        <c:crossBetween val="midCat"/>
      </c:valAx>
      <c:valAx>
        <c:axId val="1175891448"/>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5889152"/>
        <c:crosses val="autoZero"/>
        <c:crossBetween val="midCat"/>
      </c:valAx>
      <c:spPr>
        <a:solidFill>
          <a:schemeClr val="bg1"/>
        </a:solidFill>
        <a:ln>
          <a:noFill/>
        </a:ln>
        <a:effectLst/>
      </c:spPr>
    </c:plotArea>
    <c:legend>
      <c:legendPos val="r"/>
      <c:layout/>
      <c:overlay val="0"/>
      <c:spPr>
        <a:noFill/>
        <a:ln>
          <a:solidFill>
            <a:schemeClr val="accent1"/>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070384905068551E-2"/>
          <c:y val="8.5793635170603663E-2"/>
          <c:w val="0.80970025395387768"/>
          <c:h val="0.73040190288713913"/>
        </c:manualLayout>
      </c:layout>
      <c:scatterChart>
        <c:scatterStyle val="lineMarker"/>
        <c:varyColors val="0"/>
        <c:ser>
          <c:idx val="1"/>
          <c:order val="1"/>
          <c:tx>
            <c:v>(ϕ2,t)</c:v>
          </c:tx>
          <c:spPr>
            <a:ln w="25400" cap="rnd">
              <a:noFill/>
              <a:round/>
            </a:ln>
            <a:effectLst/>
          </c:spPr>
          <c:marker>
            <c:symbol val="circle"/>
            <c:size val="5"/>
            <c:spPr>
              <a:solidFill>
                <a:schemeClr val="accent2"/>
              </a:solidFill>
              <a:ln w="9525">
                <a:solidFill>
                  <a:schemeClr val="accent2"/>
                </a:solidFill>
              </a:ln>
              <a:effectLst/>
            </c:spPr>
          </c:marker>
          <c:xVal>
            <c:numRef>
              <c:f>'Multivariate LR x3 is redundant'!$W$11:$W$30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xVal>
          <c:yVal>
            <c:numRef>
              <c:f>'Multivariate LR x3 is redundant'!$H$11:$H$30</c:f>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1-98F6-452B-84C2-2A99CE3D3C71}"/>
            </c:ext>
          </c:extLst>
        </c:ser>
        <c:ser>
          <c:idx val="2"/>
          <c:order val="2"/>
          <c:tx>
            <c:v>(ϕ3,t)</c:v>
          </c:tx>
          <c:spPr>
            <a:ln w="25400" cap="rnd">
              <a:noFill/>
              <a:round/>
            </a:ln>
            <a:effectLst/>
          </c:spPr>
          <c:marker>
            <c:symbol val="circle"/>
            <c:size val="5"/>
            <c:spPr>
              <a:solidFill>
                <a:schemeClr val="accent3"/>
              </a:solidFill>
              <a:ln w="9525">
                <a:solidFill>
                  <a:schemeClr val="accent3"/>
                </a:solidFill>
              </a:ln>
              <a:effectLst/>
            </c:spPr>
          </c:marker>
          <c:xVal>
            <c:numRef>
              <c:f>'Multivariate LR x3 is redundant'!$X$11:$X$30</c:f>
              <c:numCache>
                <c:formatCode>0.00</c:formatCode>
                <c:ptCount val="20"/>
                <c:pt idx="0">
                  <c:v>8.4717948592222587</c:v>
                </c:pt>
                <c:pt idx="1">
                  <c:v>4.6315109107159307</c:v>
                </c:pt>
                <c:pt idx="2">
                  <c:v>6.0472835100701126</c:v>
                </c:pt>
                <c:pt idx="3">
                  <c:v>7.4409241699830728</c:v>
                </c:pt>
                <c:pt idx="4">
                  <c:v>3.2118314762733378</c:v>
                </c:pt>
                <c:pt idx="5">
                  <c:v>4.7984470309629002</c:v>
                </c:pt>
                <c:pt idx="6">
                  <c:v>0.15231350272656732</c:v>
                </c:pt>
                <c:pt idx="7">
                  <c:v>8.2663685603226114</c:v>
                </c:pt>
                <c:pt idx="8">
                  <c:v>3.4750149117358315</c:v>
                </c:pt>
                <c:pt idx="9">
                  <c:v>7.428943436230238</c:v>
                </c:pt>
                <c:pt idx="10">
                  <c:v>12.790437935687743</c:v>
                </c:pt>
                <c:pt idx="11">
                  <c:v>0.64067014992212012</c:v>
                </c:pt>
                <c:pt idx="12">
                  <c:v>9.9997897243713441E-2</c:v>
                </c:pt>
                <c:pt idx="13">
                  <c:v>0.46632749263279261</c:v>
                </c:pt>
                <c:pt idx="14">
                  <c:v>0.86259850567236485</c:v>
                </c:pt>
                <c:pt idx="15">
                  <c:v>13.017652141829338</c:v>
                </c:pt>
                <c:pt idx="16">
                  <c:v>4.1533477669768297</c:v>
                </c:pt>
                <c:pt idx="17">
                  <c:v>0.69312283003328812</c:v>
                </c:pt>
                <c:pt idx="18">
                  <c:v>4.9843300701671707</c:v>
                </c:pt>
                <c:pt idx="19">
                  <c:v>3.5152315247090167</c:v>
                </c:pt>
              </c:numCache>
            </c:numRef>
          </c:xVal>
          <c:yVal>
            <c:numRef>
              <c:f>'Multivariate LR x3 is redundant'!$H$11:$H$30</c:f>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2-98F6-452B-84C2-2A99CE3D3C71}"/>
            </c:ext>
          </c:extLst>
        </c:ser>
        <c:dLbls>
          <c:showLegendKey val="0"/>
          <c:showVal val="0"/>
          <c:showCatName val="0"/>
          <c:showSerName val="0"/>
          <c:showPercent val="0"/>
          <c:showBubbleSize val="0"/>
        </c:dLbls>
        <c:axId val="934265784"/>
        <c:axId val="934267752"/>
        <c:extLst>
          <c:ext xmlns:c15="http://schemas.microsoft.com/office/drawing/2012/chart" uri="{02D57815-91ED-43cb-92C2-25804820EDAC}">
            <c15:filteredScatterSeries>
              <c15:ser>
                <c:idx val="0"/>
                <c:order val="0"/>
                <c:tx>
                  <c:v>(ϕ1,t)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extLst>
                      <c:ext uri="{02D57815-91ED-43cb-92C2-25804820EDAC}">
                        <c15:formulaRef>
                          <c15:sqref>'Multivariate LR x3 is redundant'!$V$11:$V$30</c15:sqref>
                        </c15:formulaRef>
                      </c:ext>
                    </c:extLst>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extLst>
                      <c:ext uri="{02D57815-91ED-43cb-92C2-25804820EDAC}">
                        <c15:formulaRef>
                          <c15:sqref>'Multivariate LR x3 is redundant'!$H$11:$H$30</c15:sqref>
                        </c15:formulaRef>
                      </c:ext>
                    </c:extLst>
                    <c:numCache>
                      <c:formatCode>#,##0.00</c:formatCode>
                      <c:ptCount val="20"/>
                      <c:pt idx="0">
                        <c:v>9.6799074534318201</c:v>
                      </c:pt>
                      <c:pt idx="1">
                        <c:v>4.7851999089878579</c:v>
                      </c:pt>
                      <c:pt idx="2">
                        <c:v>6.665105886647325</c:v>
                      </c:pt>
                      <c:pt idx="3">
                        <c:v>8.5027367037333583</c:v>
                      </c:pt>
                      <c:pt idx="4">
                        <c:v>4.9602970286449519</c:v>
                      </c:pt>
                      <c:pt idx="5">
                        <c:v>6.5178560827811722</c:v>
                      </c:pt>
                      <c:pt idx="6">
                        <c:v>0.84951466034364931</c:v>
                      </c:pt>
                      <c:pt idx="7">
                        <c:v>8.4610610292854691</c:v>
                      </c:pt>
                      <c:pt idx="8">
                        <c:v>5.2298593652923797</c:v>
                      </c:pt>
                      <c:pt idx="9">
                        <c:v>8.3750039483413321</c:v>
                      </c:pt>
                      <c:pt idx="10">
                        <c:v>14.312445963822828</c:v>
                      </c:pt>
                      <c:pt idx="11">
                        <c:v>2.2098456198243976</c:v>
                      </c:pt>
                      <c:pt idx="12">
                        <c:v>0.60218110250727785</c:v>
                      </c:pt>
                      <c:pt idx="13">
                        <c:v>2.3082937600067028</c:v>
                      </c:pt>
                      <c:pt idx="14">
                        <c:v>2.1982952161399925</c:v>
                      </c:pt>
                      <c:pt idx="15">
                        <c:v>13.169687710974612</c:v>
                      </c:pt>
                      <c:pt idx="16">
                        <c:v>5.6591254783538663</c:v>
                      </c:pt>
                      <c:pt idx="17">
                        <c:v>2.4931101905591428</c:v>
                      </c:pt>
                      <c:pt idx="18">
                        <c:v>5.275657626499016</c:v>
                      </c:pt>
                      <c:pt idx="19">
                        <c:v>4.4292175817947141</c:v>
                      </c:pt>
                    </c:numCache>
                  </c:numRef>
                </c:yVal>
                <c:smooth val="0"/>
                <c:extLst>
                  <c:ext xmlns:c16="http://schemas.microsoft.com/office/drawing/2014/chart" uri="{C3380CC4-5D6E-409C-BE32-E72D297353CC}">
                    <c16:uniqueId val="{00000000-98F6-452B-84C2-2A99CE3D3C71}"/>
                  </c:ext>
                </c:extLst>
              </c15:ser>
            </c15:filteredScatterSeries>
          </c:ext>
        </c:extLst>
      </c:scatterChart>
      <c:valAx>
        <c:axId val="934265784"/>
        <c:scaling>
          <c:orientation val="minMax"/>
        </c:scaling>
        <c:delete val="0"/>
        <c:axPos val="b"/>
        <c:numFmt formatCode="0" sourceLinked="0"/>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267752"/>
        <c:crosses val="autoZero"/>
        <c:crossBetween val="midCat"/>
      </c:valAx>
      <c:valAx>
        <c:axId val="934267752"/>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265784"/>
        <c:crosses val="autoZero"/>
        <c:crossBetween val="midCat"/>
      </c:valAx>
      <c:spPr>
        <a:noFill/>
        <a:ln>
          <a:noFill/>
        </a:ln>
        <a:effectLst/>
      </c:spPr>
    </c:plotArea>
    <c:legend>
      <c:legendPos val="r"/>
      <c:layout/>
      <c:overlay val="0"/>
      <c:spPr>
        <a:noFill/>
        <a:ln>
          <a:solidFill>
            <a:schemeClr val="accent1"/>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(ϕ1,ϕ2)</c:v>
          </c:tx>
          <c:spPr>
            <a:ln w="25400" cap="rnd">
              <a:noFill/>
              <a:round/>
            </a:ln>
            <a:effectLst/>
          </c:spPr>
          <c:marker>
            <c:symbol val="circle"/>
            <c:size val="5"/>
            <c:spPr>
              <a:solidFill>
                <a:schemeClr val="accent2"/>
              </a:solidFill>
              <a:ln w="9525">
                <a:solidFill>
                  <a:schemeClr val="accent2"/>
                </a:solidFill>
              </a:ln>
              <a:effectLst/>
            </c:spPr>
          </c:marker>
          <c:xVal>
            <c:numRef>
              <c:f>'Multivariate LR x3 is redundant'!$V$11:$V$30</c:f>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f>'Multivariate LR x3 is redundant'!$W$11:$W$30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yVal>
          <c:smooth val="0"/>
          <c:extLst>
            <c:ext xmlns:c16="http://schemas.microsoft.com/office/drawing/2014/chart" uri="{C3380CC4-5D6E-409C-BE32-E72D297353CC}">
              <c16:uniqueId val="{00000000-C5FB-4759-AD78-1E8324FA8769}"/>
            </c:ext>
          </c:extLst>
        </c:ser>
        <c:ser>
          <c:idx val="1"/>
          <c:order val="1"/>
          <c:tx>
            <c:v>(ϕ1,ϕ3)</c:v>
          </c:tx>
          <c:spPr>
            <a:ln w="25400" cap="rnd">
              <a:noFill/>
              <a:round/>
            </a:ln>
            <a:effectLst/>
          </c:spPr>
          <c:marker>
            <c:symbol val="circle"/>
            <c:size val="5"/>
            <c:spPr>
              <a:solidFill>
                <a:schemeClr val="accent4"/>
              </a:solidFill>
              <a:ln w="9525">
                <a:solidFill>
                  <a:schemeClr val="accent4"/>
                </a:solidFill>
              </a:ln>
              <a:effectLst/>
            </c:spPr>
          </c:marker>
          <c:xVal>
            <c:numRef>
              <c:f>'Multivariate LR x3 is redundant'!$V$11:$V$30</c:f>
              <c:numCache>
                <c:formatCode>0.00</c:formatCode>
                <c:ptCount val="20"/>
                <c:pt idx="0">
                  <c:v>8.826589099815509</c:v>
                </c:pt>
                <c:pt idx="1">
                  <c:v>5.2001768616600321</c:v>
                </c:pt>
                <c:pt idx="2">
                  <c:v>7.6763914509093567</c:v>
                </c:pt>
                <c:pt idx="3">
                  <c:v>5.2252387207048461</c:v>
                </c:pt>
                <c:pt idx="4">
                  <c:v>5.0373006201932977</c:v>
                </c:pt>
                <c:pt idx="5">
                  <c:v>4.5396495886402359</c:v>
                </c:pt>
                <c:pt idx="6">
                  <c:v>1.5551641235380631</c:v>
                </c:pt>
                <c:pt idx="7">
                  <c:v>4.3360277348442793</c:v>
                </c:pt>
                <c:pt idx="8">
                  <c:v>4.4798919516482139</c:v>
                </c:pt>
                <c:pt idx="9">
                  <c:v>9.8204418343991833</c:v>
                </c:pt>
                <c:pt idx="10">
                  <c:v>7.2617432184863056</c:v>
                </c:pt>
                <c:pt idx="11">
                  <c:v>7.1684812729847769</c:v>
                </c:pt>
                <c:pt idx="12">
                  <c:v>8.9991329928220676E-2</c:v>
                </c:pt>
                <c:pt idx="13">
                  <c:v>4.324668313188516</c:v>
                </c:pt>
                <c:pt idx="14">
                  <c:v>2.5408329002216501</c:v>
                </c:pt>
                <c:pt idx="15">
                  <c:v>7.7774171633087787</c:v>
                </c:pt>
                <c:pt idx="16">
                  <c:v>4.6900733808727626</c:v>
                </c:pt>
                <c:pt idx="17">
                  <c:v>4.721257252422193</c:v>
                </c:pt>
                <c:pt idx="18">
                  <c:v>4.0885297868513675</c:v>
                </c:pt>
                <c:pt idx="19">
                  <c:v>1.8409415949490104</c:v>
                </c:pt>
              </c:numCache>
            </c:numRef>
          </c:xVal>
          <c:yVal>
            <c:numRef>
              <c:f>'Multivariate LR x3 is redundant'!$X$11:$X$30</c:f>
              <c:numCache>
                <c:formatCode>0.00</c:formatCode>
                <c:ptCount val="20"/>
                <c:pt idx="0">
                  <c:v>8.4717948592222587</c:v>
                </c:pt>
                <c:pt idx="1">
                  <c:v>4.6315109107159307</c:v>
                </c:pt>
                <c:pt idx="2">
                  <c:v>6.0472835100701126</c:v>
                </c:pt>
                <c:pt idx="3">
                  <c:v>7.4409241699830728</c:v>
                </c:pt>
                <c:pt idx="4">
                  <c:v>3.2118314762733378</c:v>
                </c:pt>
                <c:pt idx="5">
                  <c:v>4.7984470309629002</c:v>
                </c:pt>
                <c:pt idx="6">
                  <c:v>0.15231350272656732</c:v>
                </c:pt>
                <c:pt idx="7">
                  <c:v>8.2663685603226114</c:v>
                </c:pt>
                <c:pt idx="8">
                  <c:v>3.4750149117358315</c:v>
                </c:pt>
                <c:pt idx="9">
                  <c:v>7.428943436230238</c:v>
                </c:pt>
                <c:pt idx="10">
                  <c:v>12.790437935687743</c:v>
                </c:pt>
                <c:pt idx="11">
                  <c:v>0.64067014992212012</c:v>
                </c:pt>
                <c:pt idx="12">
                  <c:v>9.9997897243713441E-2</c:v>
                </c:pt>
                <c:pt idx="13">
                  <c:v>0.46632749263279261</c:v>
                </c:pt>
                <c:pt idx="14">
                  <c:v>0.86259850567236485</c:v>
                </c:pt>
                <c:pt idx="15">
                  <c:v>13.017652141829338</c:v>
                </c:pt>
                <c:pt idx="16">
                  <c:v>4.1533477669768297</c:v>
                </c:pt>
                <c:pt idx="17">
                  <c:v>0.69312283003328812</c:v>
                </c:pt>
                <c:pt idx="18">
                  <c:v>4.9843300701671707</c:v>
                </c:pt>
                <c:pt idx="19">
                  <c:v>3.5152315247090167</c:v>
                </c:pt>
              </c:numCache>
            </c:numRef>
          </c:yVal>
          <c:smooth val="0"/>
          <c:extLst>
            <c:ext xmlns:c16="http://schemas.microsoft.com/office/drawing/2014/chart" uri="{C3380CC4-5D6E-409C-BE32-E72D297353CC}">
              <c16:uniqueId val="{00000001-C5FB-4759-AD78-1E8324FA8769}"/>
            </c:ext>
          </c:extLst>
        </c:ser>
        <c:ser>
          <c:idx val="2"/>
          <c:order val="2"/>
          <c:tx>
            <c:v>(ϕ2,ϕ3)</c:v>
          </c:tx>
          <c:spPr>
            <a:ln w="25400" cap="rnd">
              <a:noFill/>
              <a:round/>
            </a:ln>
            <a:effectLst/>
          </c:spPr>
          <c:marker>
            <c:symbol val="circle"/>
            <c:size val="5"/>
            <c:spPr>
              <a:solidFill>
                <a:schemeClr val="accent6"/>
              </a:solidFill>
              <a:ln w="9525">
                <a:solidFill>
                  <a:schemeClr val="accent6"/>
                </a:solidFill>
              </a:ln>
              <a:effectLst/>
            </c:spPr>
          </c:marker>
          <c:xVal>
            <c:numRef>
              <c:f>'Multivariate LR x3 is redundant'!$W$11:$W$30</c:f>
              <c:numCache>
                <c:formatCode>0.00</c:formatCode>
                <c:ptCount val="20"/>
                <c:pt idx="0">
                  <c:v>0.95980392464393005</c:v>
                </c:pt>
                <c:pt idx="1">
                  <c:v>0.89064488265067032</c:v>
                </c:pt>
                <c:pt idx="2">
                  <c:v>0.78777685436478651</c:v>
                </c:pt>
                <c:pt idx="3">
                  <c:v>1.4240352580445066</c:v>
                </c:pt>
                <c:pt idx="4">
                  <c:v>0.63760964819091726</c:v>
                </c:pt>
                <c:pt idx="5">
                  <c:v>1.0570082419952114</c:v>
                </c:pt>
                <c:pt idx="6">
                  <c:v>9.7940468418244997E-2</c:v>
                </c:pt>
                <c:pt idx="7">
                  <c:v>1.9064381193630633</c:v>
                </c:pt>
                <c:pt idx="8">
                  <c:v>0.77569167945162731</c:v>
                </c:pt>
                <c:pt idx="9">
                  <c:v>0.75647751511627814</c:v>
                </c:pt>
                <c:pt idx="10">
                  <c:v>1.7613453892347741</c:v>
                </c:pt>
                <c:pt idx="11">
                  <c:v>8.9373205498430641E-2</c:v>
                </c:pt>
                <c:pt idx="12">
                  <c:v>1.1111947931370083</c:v>
                </c:pt>
                <c:pt idx="13">
                  <c:v>0.10782965509994824</c:v>
                </c:pt>
                <c:pt idx="14">
                  <c:v>0.33949438611138727</c:v>
                </c:pt>
                <c:pt idx="15">
                  <c:v>1.6737757366600077</c:v>
                </c:pt>
                <c:pt idx="16">
                  <c:v>0.88556136113246597</c:v>
                </c:pt>
                <c:pt idx="17">
                  <c:v>0.14680895214461964</c:v>
                </c:pt>
                <c:pt idx="18">
                  <c:v>1.2191008333109568</c:v>
                </c:pt>
                <c:pt idx="19">
                  <c:v>1.9094747678871258</c:v>
                </c:pt>
              </c:numCache>
            </c:numRef>
          </c:xVal>
          <c:yVal>
            <c:numRef>
              <c:f>'Multivariate LR x3 is redundant'!$X$11:$X$30</c:f>
              <c:numCache>
                <c:formatCode>0.00</c:formatCode>
                <c:ptCount val="20"/>
                <c:pt idx="0">
                  <c:v>8.4717948592222587</c:v>
                </c:pt>
                <c:pt idx="1">
                  <c:v>4.6315109107159307</c:v>
                </c:pt>
                <c:pt idx="2">
                  <c:v>6.0472835100701126</c:v>
                </c:pt>
                <c:pt idx="3">
                  <c:v>7.4409241699830728</c:v>
                </c:pt>
                <c:pt idx="4">
                  <c:v>3.2118314762733378</c:v>
                </c:pt>
                <c:pt idx="5">
                  <c:v>4.7984470309629002</c:v>
                </c:pt>
                <c:pt idx="6">
                  <c:v>0.15231350272656732</c:v>
                </c:pt>
                <c:pt idx="7">
                  <c:v>8.2663685603226114</c:v>
                </c:pt>
                <c:pt idx="8">
                  <c:v>3.4750149117358315</c:v>
                </c:pt>
                <c:pt idx="9">
                  <c:v>7.428943436230238</c:v>
                </c:pt>
                <c:pt idx="10">
                  <c:v>12.790437935687743</c:v>
                </c:pt>
                <c:pt idx="11">
                  <c:v>0.64067014992212012</c:v>
                </c:pt>
                <c:pt idx="12">
                  <c:v>9.9997897243713441E-2</c:v>
                </c:pt>
                <c:pt idx="13">
                  <c:v>0.46632749263279261</c:v>
                </c:pt>
                <c:pt idx="14">
                  <c:v>0.86259850567236485</c:v>
                </c:pt>
                <c:pt idx="15">
                  <c:v>13.017652141829338</c:v>
                </c:pt>
                <c:pt idx="16">
                  <c:v>4.1533477669768297</c:v>
                </c:pt>
                <c:pt idx="17">
                  <c:v>0.69312283003328812</c:v>
                </c:pt>
                <c:pt idx="18">
                  <c:v>4.9843300701671707</c:v>
                </c:pt>
                <c:pt idx="19">
                  <c:v>3.5152315247090167</c:v>
                </c:pt>
              </c:numCache>
            </c:numRef>
          </c:yVal>
          <c:smooth val="0"/>
          <c:extLst>
            <c:ext xmlns:c16="http://schemas.microsoft.com/office/drawing/2014/chart" uri="{C3380CC4-5D6E-409C-BE32-E72D297353CC}">
              <c16:uniqueId val="{00000002-C5FB-4759-AD78-1E8324FA8769}"/>
            </c:ext>
          </c:extLst>
        </c:ser>
        <c:dLbls>
          <c:showLegendKey val="0"/>
          <c:showVal val="0"/>
          <c:showCatName val="0"/>
          <c:showSerName val="0"/>
          <c:showPercent val="0"/>
          <c:showBubbleSize val="0"/>
        </c:dLbls>
        <c:axId val="1175889152"/>
        <c:axId val="1175891448"/>
      </c:scatterChart>
      <c:valAx>
        <c:axId val="1175889152"/>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5891448"/>
        <c:crosses val="autoZero"/>
        <c:crossBetween val="midCat"/>
      </c:valAx>
      <c:valAx>
        <c:axId val="1175891448"/>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5889152"/>
        <c:crosses val="autoZero"/>
        <c:crossBetween val="midCat"/>
      </c:valAx>
      <c:spPr>
        <a:noFill/>
        <a:ln>
          <a:noFill/>
        </a:ln>
        <a:effectLst/>
      </c:spPr>
    </c:plotArea>
    <c:legend>
      <c:legendPos val="r"/>
      <c:layout/>
      <c:overlay val="0"/>
      <c:spPr>
        <a:noFill/>
        <a:ln>
          <a:solidFill>
            <a:schemeClr val="accent1"/>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Residual Plot should</a:t>
            </a:r>
            <a:r>
              <a:rPr lang="en-GB" baseline="0"/>
              <a:t> </a:t>
            </a:r>
            <a:r>
              <a:rPr lang="en-GB"/>
              <a:t>show no Bias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'Multivariate LR x3 is redundant'!$Y$11:$Y$30</c:f>
              <c:numCache>
                <c:formatCode>#,##0.00</c:formatCode>
                <c:ptCount val="20"/>
                <c:pt idx="0">
                  <c:v>9.6128829409919394</c:v>
                </c:pt>
                <c:pt idx="1">
                  <c:v>5.7330142453654087</c:v>
                </c:pt>
                <c:pt idx="2">
                  <c:v>7.2718014855686821</c:v>
                </c:pt>
                <c:pt idx="3">
                  <c:v>8.2689460368192744</c:v>
                </c:pt>
                <c:pt idx="4">
                  <c:v>4.4373563401909335</c:v>
                </c:pt>
                <c:pt idx="5">
                  <c:v>5.8038519590055477</c:v>
                </c:pt>
                <c:pt idx="6">
                  <c:v>1.4444813128285996</c:v>
                </c:pt>
                <c:pt idx="7">
                  <c:v>8.8657156848930754</c:v>
                </c:pt>
                <c:pt idx="8">
                  <c:v>4.6146274288118798</c:v>
                </c:pt>
                <c:pt idx="9">
                  <c:v>8.7368151886142993</c:v>
                </c:pt>
                <c:pt idx="10">
                  <c:v>13.41435630660205</c:v>
                </c:pt>
                <c:pt idx="11">
                  <c:v>2.2702719600608305</c:v>
                </c:pt>
                <c:pt idx="12">
                  <c:v>1.0172330331081108</c:v>
                </c:pt>
                <c:pt idx="13">
                  <c:v>1.9177563211632416</c:v>
                </c:pt>
                <c:pt idx="14">
                  <c:v>2.1179618983151296</c:v>
                </c:pt>
                <c:pt idx="15">
                  <c:v>13.688757671678045</c:v>
                </c:pt>
                <c:pt idx="16">
                  <c:v>5.2452097252136447</c:v>
                </c:pt>
                <c:pt idx="17">
                  <c:v>2.1487015509823535</c:v>
                </c:pt>
                <c:pt idx="18">
                  <c:v>5.9073001248413028</c:v>
                </c:pt>
                <c:pt idx="19">
                  <c:v>4.1673611029171482</c:v>
                </c:pt>
              </c:numCache>
            </c:numRef>
          </c:xVal>
          <c:yVal>
            <c:numRef>
              <c:f>'Multivariate LR x3 is redundant'!$AA$11:$AA$30</c:f>
              <c:numCache>
                <c:formatCode>#,##0.00</c:formatCode>
                <c:ptCount val="20"/>
                <c:pt idx="0">
                  <c:v>6.7024512439880723E-2</c:v>
                </c:pt>
                <c:pt idx="1">
                  <c:v>-0.94781433637755086</c:v>
                </c:pt>
                <c:pt idx="2">
                  <c:v>-0.60669559892135716</c:v>
                </c:pt>
                <c:pt idx="3">
                  <c:v>0.2337906669140839</c:v>
                </c:pt>
                <c:pt idx="4">
                  <c:v>0.52294068845401842</c:v>
                </c:pt>
                <c:pt idx="5">
                  <c:v>0.7140041237756245</c:v>
                </c:pt>
                <c:pt idx="6">
                  <c:v>-0.59496665248495029</c:v>
                </c:pt>
                <c:pt idx="7">
                  <c:v>-0.40465465560760627</c:v>
                </c:pt>
                <c:pt idx="8">
                  <c:v>0.6152319364804999</c:v>
                </c:pt>
                <c:pt idx="9">
                  <c:v>-0.36181124027296718</c:v>
                </c:pt>
                <c:pt idx="10">
                  <c:v>0.89808965722077794</c:v>
                </c:pt>
                <c:pt idx="11">
                  <c:v>-6.0426340236432896E-2</c:v>
                </c:pt>
                <c:pt idx="12">
                  <c:v>-0.4150519306008329</c:v>
                </c:pt>
                <c:pt idx="13">
                  <c:v>0.39053743884346126</c:v>
                </c:pt>
                <c:pt idx="14">
                  <c:v>8.033331782486286E-2</c:v>
                </c:pt>
                <c:pt idx="15">
                  <c:v>-0.51906996070343325</c:v>
                </c:pt>
                <c:pt idx="16">
                  <c:v>0.41391575314022155</c:v>
                </c:pt>
                <c:pt idx="17">
                  <c:v>0.34440863957678935</c:v>
                </c:pt>
                <c:pt idx="18">
                  <c:v>-0.63164249834228681</c:v>
                </c:pt>
                <c:pt idx="19">
                  <c:v>0.26185647887756591</c:v>
                </c:pt>
              </c:numCache>
            </c:numRef>
          </c:yVal>
          <c:smooth val="0"/>
          <c:extLst>
            <c:ext xmlns:c16="http://schemas.microsoft.com/office/drawing/2014/chart" uri="{C3380CC4-5D6E-409C-BE32-E72D297353CC}">
              <c16:uniqueId val="{00000000-816C-43CB-89A1-2F880D7A45FE}"/>
            </c:ext>
          </c:extLst>
        </c:ser>
        <c:dLbls>
          <c:showLegendKey val="0"/>
          <c:showVal val="0"/>
          <c:showCatName val="0"/>
          <c:showSerName val="0"/>
          <c:showPercent val="0"/>
          <c:showBubbleSize val="0"/>
        </c:dLbls>
        <c:axId val="602526816"/>
        <c:axId val="602525504"/>
      </c:scatterChart>
      <c:valAx>
        <c:axId val="602526816"/>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25504"/>
        <c:crosses val="autoZero"/>
        <c:crossBetween val="midCat"/>
      </c:valAx>
      <c:valAx>
        <c:axId val="602525504"/>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26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122464</xdr:colOff>
      <xdr:row>8</xdr:row>
      <xdr:rowOff>32163</xdr:rowOff>
    </xdr:from>
    <xdr:to>
      <xdr:col>17</xdr:col>
      <xdr:colOff>966107</xdr:colOff>
      <xdr:row>16</xdr:row>
      <xdr:rowOff>95249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381000</xdr:colOff>
      <xdr:row>19</xdr:row>
      <xdr:rowOff>54429</xdr:rowOff>
    </xdr:from>
    <xdr:to>
      <xdr:col>17</xdr:col>
      <xdr:colOff>816428</xdr:colOff>
      <xdr:row>29</xdr:row>
      <xdr:rowOff>13604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54429</xdr:colOff>
      <xdr:row>4</xdr:row>
      <xdr:rowOff>40821</xdr:rowOff>
    </xdr:from>
    <xdr:to>
      <xdr:col>11</xdr:col>
      <xdr:colOff>966107</xdr:colOff>
      <xdr:row>6</xdr:row>
      <xdr:rowOff>272143</xdr:rowOff>
    </xdr:to>
    <xdr:cxnSp macro="">
      <xdr:nvCxnSpPr>
        <xdr:cNvPr id="3" name="Straight Connector 2"/>
        <xdr:cNvCxnSpPr/>
      </xdr:nvCxnSpPr>
      <xdr:spPr>
        <a:xfrm>
          <a:off x="6313715" y="1401535"/>
          <a:ext cx="2843892" cy="8572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258536</xdr:colOff>
      <xdr:row>8</xdr:row>
      <xdr:rowOff>502227</xdr:rowOff>
    </xdr:from>
    <xdr:to>
      <xdr:col>34</xdr:col>
      <xdr:colOff>571501</xdr:colOff>
      <xdr:row>22</xdr:row>
      <xdr:rowOff>17318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379763</xdr:colOff>
      <xdr:row>24</xdr:row>
      <xdr:rowOff>32162</xdr:rowOff>
    </xdr:from>
    <xdr:to>
      <xdr:col>35</xdr:col>
      <xdr:colOff>25977</xdr:colOff>
      <xdr:row>31</xdr:row>
      <xdr:rowOff>101435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734786</xdr:colOff>
      <xdr:row>0</xdr:row>
      <xdr:rowOff>0</xdr:rowOff>
    </xdr:from>
    <xdr:to>
      <xdr:col>20</xdr:col>
      <xdr:colOff>517071</xdr:colOff>
      <xdr:row>2</xdr:row>
      <xdr:rowOff>176893</xdr:rowOff>
    </xdr:to>
    <xdr:sp macro="" textlink="">
      <xdr:nvSpPr>
        <xdr:cNvPr id="5" name="Right Arrow 4"/>
        <xdr:cNvSpPr/>
      </xdr:nvSpPr>
      <xdr:spPr>
        <a:xfrm>
          <a:off x="13103679" y="0"/>
          <a:ext cx="3224892" cy="92528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t>Feature Mapping</a:t>
          </a:r>
        </a:p>
      </xdr:txBody>
    </xdr:sp>
    <xdr:clientData/>
  </xdr:twoCellAnchor>
  <xdr:twoCellAnchor>
    <xdr:from>
      <xdr:col>28</xdr:col>
      <xdr:colOff>122464</xdr:colOff>
      <xdr:row>34</xdr:row>
      <xdr:rowOff>172810</xdr:rowOff>
    </xdr:from>
    <xdr:to>
      <xdr:col>33</xdr:col>
      <xdr:colOff>530679</xdr:colOff>
      <xdr:row>42</xdr:row>
      <xdr:rowOff>180974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S124"/>
  <sheetViews>
    <sheetView showGridLines="0" tabSelected="1" topLeftCell="A7" zoomScale="70" zoomScaleNormal="70" workbookViewId="0">
      <selection activeCell="R35" sqref="R35"/>
    </sheetView>
  </sheetViews>
  <sheetFormatPr defaultRowHeight="12.75" x14ac:dyDescent="0.2"/>
  <cols>
    <col min="1" max="1" width="4.85546875" customWidth="1"/>
    <col min="2" max="2" width="4.28515625" customWidth="1"/>
    <col min="3" max="3" width="13.42578125" customWidth="1"/>
    <col min="6" max="6" width="12.7109375" customWidth="1"/>
    <col min="7" max="7" width="13.28515625" customWidth="1"/>
    <col min="8" max="8" width="14.28515625" customWidth="1"/>
    <col min="9" max="9" width="15.42578125" customWidth="1"/>
    <col min="10" max="10" width="18.7109375" customWidth="1"/>
    <col min="11" max="11" width="17" customWidth="1"/>
    <col min="12" max="12" width="16.140625" customWidth="1"/>
    <col min="13" max="14" width="12.5703125" customWidth="1"/>
    <col min="15" max="15" width="12.85546875" customWidth="1"/>
    <col min="16" max="16" width="12.140625" customWidth="1"/>
    <col min="17" max="17" width="15.85546875" customWidth="1"/>
    <col min="18" max="18" width="14.85546875" customWidth="1"/>
    <col min="19" max="19" width="5.85546875" customWidth="1"/>
    <col min="20" max="20" width="14.85546875" customWidth="1"/>
    <col min="21" max="21" width="10.85546875" customWidth="1"/>
    <col min="22" max="22" width="12.85546875" customWidth="1"/>
    <col min="23" max="23" width="12.28515625" customWidth="1"/>
    <col min="24" max="24" width="14.7109375" customWidth="1"/>
    <col min="25" max="25" width="24.28515625" customWidth="1"/>
    <col min="26" max="26" width="18.85546875" customWidth="1"/>
    <col min="27" max="27" width="21.28515625" customWidth="1"/>
    <col min="28" max="30" width="9.7109375" customWidth="1"/>
    <col min="31" max="31" width="12" customWidth="1"/>
    <col min="32" max="32" width="11.7109375" customWidth="1"/>
    <col min="33" max="33" width="11.5703125" customWidth="1"/>
    <col min="34" max="34" width="13.140625" customWidth="1"/>
    <col min="35" max="35" width="9.7109375" customWidth="1"/>
  </cols>
  <sheetData>
    <row r="1" spans="2:43" ht="13.5" thickBot="1" x14ac:dyDescent="0.25"/>
    <row r="2" spans="2:43" ht="45" thickBot="1" x14ac:dyDescent="0.6">
      <c r="C2" s="167" t="s">
        <v>47</v>
      </c>
      <c r="D2" s="168"/>
      <c r="E2" s="168"/>
      <c r="F2" s="168"/>
      <c r="G2" s="168"/>
      <c r="H2" s="168"/>
      <c r="I2" s="168"/>
      <c r="J2" s="168"/>
      <c r="K2" s="168"/>
      <c r="L2" s="168"/>
      <c r="M2" s="168"/>
      <c r="N2" s="168"/>
      <c r="O2" s="168"/>
      <c r="P2" s="168"/>
      <c r="Q2" s="168"/>
      <c r="R2" s="169"/>
      <c r="S2" s="122"/>
      <c r="T2" s="167" t="s">
        <v>48</v>
      </c>
      <c r="U2" s="168"/>
      <c r="V2" s="168"/>
      <c r="W2" s="168"/>
      <c r="X2" s="168"/>
      <c r="Y2" s="168"/>
      <c r="Z2" s="168"/>
      <c r="AA2" s="168"/>
      <c r="AB2" s="168"/>
      <c r="AC2" s="168"/>
      <c r="AD2" s="168"/>
      <c r="AE2" s="168"/>
      <c r="AF2" s="168"/>
      <c r="AG2" s="168"/>
      <c r="AH2" s="169"/>
      <c r="AI2" s="152"/>
      <c r="AJ2" s="14"/>
    </row>
    <row r="3" spans="2:43" ht="32.25" customHeight="1" x14ac:dyDescent="0.4">
      <c r="C3" s="151" t="s">
        <v>43</v>
      </c>
      <c r="D3" s="132"/>
      <c r="E3" s="132"/>
      <c r="F3" s="132"/>
      <c r="G3" s="132"/>
      <c r="H3" s="132"/>
      <c r="I3" s="15"/>
      <c r="J3" s="15"/>
      <c r="K3" s="136" t="s">
        <v>36</v>
      </c>
      <c r="L3" s="136"/>
      <c r="M3" s="15"/>
      <c r="N3" s="148"/>
      <c r="O3" s="148"/>
      <c r="P3" s="148"/>
      <c r="Q3" s="148"/>
      <c r="R3" s="149"/>
      <c r="S3" s="105"/>
      <c r="T3" s="135" t="s">
        <v>57</v>
      </c>
      <c r="U3" s="15"/>
      <c r="V3" s="14"/>
      <c r="W3" s="15"/>
      <c r="X3" s="15"/>
      <c r="Y3" s="15"/>
      <c r="Z3" s="15"/>
      <c r="AA3" s="15"/>
      <c r="AB3" s="15"/>
      <c r="AC3" s="15"/>
      <c r="AD3" s="15"/>
      <c r="AE3" s="15"/>
      <c r="AF3" s="15"/>
      <c r="AG3" s="15"/>
      <c r="AH3" s="16"/>
      <c r="AI3" s="14"/>
    </row>
    <row r="4" spans="2:43" ht="19.5" customHeight="1" x14ac:dyDescent="0.4">
      <c r="B4" s="95"/>
      <c r="C4" s="133"/>
      <c r="D4" s="134"/>
      <c r="E4" s="134"/>
      <c r="F4" s="134"/>
      <c r="G4" s="134"/>
      <c r="H4" s="134"/>
      <c r="I4" s="45"/>
      <c r="J4" s="24" t="s">
        <v>4</v>
      </c>
      <c r="K4" s="25" t="s">
        <v>5</v>
      </c>
      <c r="L4" s="25" t="s">
        <v>13</v>
      </c>
      <c r="M4" s="14"/>
      <c r="N4" s="159" t="s">
        <v>27</v>
      </c>
      <c r="O4" s="159"/>
      <c r="P4" s="159"/>
      <c r="Q4" s="159"/>
      <c r="R4" s="160"/>
      <c r="S4" s="105"/>
      <c r="T4" s="161" t="s">
        <v>28</v>
      </c>
      <c r="U4" s="159"/>
      <c r="V4" s="159"/>
      <c r="W4" s="159"/>
      <c r="X4" s="159"/>
      <c r="Y4" s="159"/>
      <c r="Z4" s="159"/>
      <c r="AA4" s="159"/>
      <c r="AB4" s="159"/>
      <c r="AC4" s="159"/>
      <c r="AD4" s="159"/>
      <c r="AE4" s="159"/>
      <c r="AF4" s="159"/>
      <c r="AG4" s="159"/>
      <c r="AH4" s="160"/>
      <c r="AI4" t="s">
        <v>49</v>
      </c>
    </row>
    <row r="5" spans="2:43" ht="24.75" customHeight="1" x14ac:dyDescent="0.2">
      <c r="B5" s="23"/>
      <c r="C5" s="6"/>
      <c r="D5" s="43"/>
      <c r="E5" s="24" t="s">
        <v>4</v>
      </c>
      <c r="F5" s="25" t="s">
        <v>5</v>
      </c>
      <c r="G5" s="25" t="s">
        <v>13</v>
      </c>
      <c r="H5" s="14"/>
      <c r="I5" s="44" t="s">
        <v>4</v>
      </c>
      <c r="J5" s="65">
        <f>CORREL(x_1,x_1)</f>
        <v>1</v>
      </c>
      <c r="K5" s="66">
        <f>CORREL(x_1,x_2)</f>
        <v>4.8034078352984719E-2</v>
      </c>
      <c r="L5" s="67">
        <f>CORREL(x_1,x_3)</f>
        <v>3.5480680224495138E-2</v>
      </c>
      <c r="M5" s="14"/>
      <c r="N5" s="159"/>
      <c r="O5" s="159"/>
      <c r="P5" s="159"/>
      <c r="Q5" s="159"/>
      <c r="R5" s="160"/>
      <c r="S5" s="105"/>
      <c r="T5" s="161"/>
      <c r="U5" s="159"/>
      <c r="V5" s="159"/>
      <c r="W5" s="159"/>
      <c r="X5" s="159"/>
      <c r="Y5" s="159"/>
      <c r="Z5" s="159"/>
      <c r="AA5" s="159"/>
      <c r="AB5" s="159"/>
      <c r="AC5" s="159"/>
      <c r="AD5" s="159"/>
      <c r="AE5" s="159"/>
      <c r="AF5" s="159"/>
      <c r="AG5" s="159"/>
      <c r="AH5" s="160"/>
    </row>
    <row r="6" spans="2:43" ht="24.75" customHeight="1" x14ac:dyDescent="0.2">
      <c r="B6" s="23"/>
      <c r="C6" s="59"/>
      <c r="D6" s="45" t="s">
        <v>0</v>
      </c>
      <c r="E6" s="73">
        <f ca="1">CORREL(t,x_1)</f>
        <v>0.67446821147429437</v>
      </c>
      <c r="F6" s="73">
        <f ca="1">CORREL(t,x_2)</f>
        <v>0.67683341787365781</v>
      </c>
      <c r="G6" s="73">
        <f ca="1">CORREL(t,x_3)</f>
        <v>0.12873674799258947</v>
      </c>
      <c r="H6" s="14"/>
      <c r="I6" s="44" t="s">
        <v>5</v>
      </c>
      <c r="J6" s="68">
        <f>CORREL(x_2,x_1)</f>
        <v>4.8034078352984719E-2</v>
      </c>
      <c r="K6" s="60">
        <f>CORREL(x_2,x_2)</f>
        <v>0.99999999999999989</v>
      </c>
      <c r="L6" s="69">
        <f>CORREL(x_2,x_3)</f>
        <v>7.6441324751145526E-2</v>
      </c>
      <c r="M6" s="14"/>
      <c r="N6" s="159"/>
      <c r="O6" s="159"/>
      <c r="P6" s="159"/>
      <c r="Q6" s="159"/>
      <c r="R6" s="160"/>
      <c r="S6" s="99"/>
      <c r="T6" s="161"/>
      <c r="U6" s="159"/>
      <c r="V6" s="159"/>
      <c r="W6" s="159"/>
      <c r="X6" s="159"/>
      <c r="Y6" s="159"/>
      <c r="Z6" s="159"/>
      <c r="AA6" s="159"/>
      <c r="AB6" s="159"/>
      <c r="AC6" s="159"/>
      <c r="AD6" s="159"/>
      <c r="AE6" s="159"/>
      <c r="AF6" s="159"/>
      <c r="AG6" s="159"/>
      <c r="AH6" s="160"/>
      <c r="AQ6" s="33"/>
    </row>
    <row r="7" spans="2:43" ht="24" customHeight="1" x14ac:dyDescent="0.4">
      <c r="B7" s="14"/>
      <c r="C7" s="98"/>
      <c r="D7" s="134"/>
      <c r="E7" s="134"/>
      <c r="F7" s="134"/>
      <c r="G7" s="134"/>
      <c r="H7" s="14"/>
      <c r="I7" s="44" t="s">
        <v>13</v>
      </c>
      <c r="J7" s="70">
        <f>CORREL(x_3,x_1)</f>
        <v>3.5480680224495138E-2</v>
      </c>
      <c r="K7" s="71">
        <f>CORREL(x_3,x_2)</f>
        <v>7.6441324751145526E-2</v>
      </c>
      <c r="L7" s="72">
        <f>CORREL(x_3,x_3)</f>
        <v>1</v>
      </c>
      <c r="M7" s="31"/>
      <c r="N7" s="159"/>
      <c r="O7" s="159"/>
      <c r="P7" s="159"/>
      <c r="Q7" s="159"/>
      <c r="R7" s="160"/>
      <c r="S7" s="99"/>
      <c r="T7" s="161"/>
      <c r="U7" s="159"/>
      <c r="V7" s="159"/>
      <c r="W7" s="159"/>
      <c r="X7" s="159"/>
      <c r="Y7" s="159"/>
      <c r="Z7" s="159"/>
      <c r="AA7" s="159"/>
      <c r="AB7" s="159"/>
      <c r="AC7" s="159"/>
      <c r="AD7" s="159"/>
      <c r="AE7" s="159"/>
      <c r="AF7" s="159"/>
      <c r="AG7" s="159"/>
      <c r="AH7" s="160"/>
    </row>
    <row r="8" spans="2:43" ht="24" customHeight="1" thickBot="1" x14ac:dyDescent="0.3">
      <c r="C8" s="6"/>
      <c r="D8" s="91" t="s">
        <v>42</v>
      </c>
      <c r="E8" s="14"/>
      <c r="F8" s="14"/>
      <c r="G8" s="14"/>
      <c r="H8" s="14"/>
      <c r="I8" s="14"/>
      <c r="J8" s="14"/>
      <c r="K8" s="14"/>
      <c r="L8" s="14"/>
      <c r="M8" s="31"/>
      <c r="N8" s="159"/>
      <c r="O8" s="159"/>
      <c r="P8" s="159"/>
      <c r="Q8" s="159"/>
      <c r="R8" s="160"/>
      <c r="S8" s="99"/>
      <c r="T8" s="107"/>
      <c r="U8" s="162" t="s">
        <v>55</v>
      </c>
      <c r="V8" s="163"/>
      <c r="W8" s="163"/>
      <c r="X8" s="163"/>
      <c r="Y8" s="163"/>
      <c r="Z8" s="163"/>
      <c r="AA8" s="163"/>
      <c r="AB8" s="163"/>
      <c r="AC8" s="163"/>
      <c r="AD8" s="163"/>
      <c r="AE8" s="163"/>
      <c r="AF8" s="163"/>
      <c r="AG8" s="163"/>
      <c r="AH8" s="164"/>
    </row>
    <row r="9" spans="2:43" ht="41.25" customHeight="1" thickBot="1" x14ac:dyDescent="0.3">
      <c r="C9" s="100" t="s">
        <v>9</v>
      </c>
      <c r="D9" s="34">
        <v>0</v>
      </c>
      <c r="E9" s="35">
        <v>10</v>
      </c>
      <c r="F9" s="35">
        <v>2</v>
      </c>
      <c r="G9" s="36">
        <v>5</v>
      </c>
      <c r="H9" s="39">
        <v>2</v>
      </c>
      <c r="I9" s="182" t="s">
        <v>29</v>
      </c>
      <c r="J9" s="183"/>
      <c r="K9" s="184" t="s">
        <v>37</v>
      </c>
      <c r="L9" s="183"/>
      <c r="M9" s="14"/>
      <c r="N9" s="113"/>
      <c r="O9" s="113"/>
      <c r="P9" s="113"/>
      <c r="Q9" s="113"/>
      <c r="R9" s="114"/>
      <c r="S9" s="14"/>
      <c r="T9" s="6"/>
      <c r="U9" s="162"/>
      <c r="V9" s="163"/>
      <c r="W9" s="163"/>
      <c r="X9" s="163"/>
      <c r="Y9" s="163"/>
      <c r="Z9" s="163"/>
      <c r="AA9" s="163"/>
      <c r="AB9" s="163"/>
      <c r="AC9" s="163"/>
      <c r="AD9" s="163"/>
      <c r="AE9" s="163"/>
      <c r="AF9" s="163"/>
      <c r="AG9" s="163"/>
      <c r="AH9" s="164"/>
    </row>
    <row r="10" spans="2:43" ht="30.75" customHeight="1" thickBot="1" x14ac:dyDescent="0.6">
      <c r="C10" s="6"/>
      <c r="D10" s="10" t="s">
        <v>6</v>
      </c>
      <c r="E10" s="11" t="s">
        <v>7</v>
      </c>
      <c r="F10" s="11" t="s">
        <v>8</v>
      </c>
      <c r="G10" s="115" t="s">
        <v>10</v>
      </c>
      <c r="H10" s="28" t="s">
        <v>0</v>
      </c>
      <c r="I10" s="29" t="s">
        <v>31</v>
      </c>
      <c r="J10" s="30" t="s">
        <v>30</v>
      </c>
      <c r="K10" s="40" t="s">
        <v>23</v>
      </c>
      <c r="L10" s="30" t="s">
        <v>24</v>
      </c>
      <c r="M10" s="112"/>
      <c r="N10" s="113"/>
      <c r="O10" s="113"/>
      <c r="P10" s="113"/>
      <c r="Q10" s="113"/>
      <c r="R10" s="114"/>
      <c r="S10" s="14"/>
      <c r="T10" s="6"/>
      <c r="U10" s="53" t="s">
        <v>14</v>
      </c>
      <c r="V10" s="92" t="s">
        <v>11</v>
      </c>
      <c r="W10" s="92" t="s">
        <v>12</v>
      </c>
      <c r="X10" s="92" t="s">
        <v>15</v>
      </c>
      <c r="Y10" s="28" t="s">
        <v>21</v>
      </c>
      <c r="Z10" s="30" t="s">
        <v>22</v>
      </c>
      <c r="AA10" s="30" t="s">
        <v>60</v>
      </c>
      <c r="AB10" s="14"/>
      <c r="AC10" s="14"/>
      <c r="AD10" s="14"/>
      <c r="AE10" s="14"/>
      <c r="AF10" s="14"/>
      <c r="AG10" s="14"/>
      <c r="AH10" s="19"/>
    </row>
    <row r="11" spans="2:43" ht="18.75" customHeight="1" thickBot="1" x14ac:dyDescent="0.35">
      <c r="C11" s="6">
        <v>1</v>
      </c>
      <c r="D11" s="116">
        <v>1</v>
      </c>
      <c r="E11" s="62">
        <v>8.826589099815509</v>
      </c>
      <c r="F11" s="63">
        <v>0.95980392464393005</v>
      </c>
      <c r="G11" s="117">
        <v>1.2860449195871833</v>
      </c>
      <c r="H11" s="157">
        <f t="array" ref="H11:H30" ca="1">x_1*x_2+RAND()*H9</f>
        <v>9.6799074534318201</v>
      </c>
      <c r="I11" s="9">
        <f ca="1">MMULT(D11:G11,wxx_ls)</f>
        <v>9.3748208363044228</v>
      </c>
      <c r="J11" s="88">
        <f t="shared" ref="J11:J30" ca="1" si="0">SUMPRODUCT(D11:G11,wxx_gd)</f>
        <v>8.9258970305515231</v>
      </c>
      <c r="K11" s="89">
        <f t="shared" ref="K11:K30" ca="1" si="1">MMULT(D11:F11,wx_ls)</f>
        <v>9.6426041721086584</v>
      </c>
      <c r="L11" s="90">
        <f t="shared" ref="L11:L30" ca="1" si="2">SUMPRODUCT(D11:F11,wx_gd)</f>
        <v>9.7733864830773935</v>
      </c>
      <c r="M11" s="14"/>
      <c r="N11" s="14"/>
      <c r="O11" s="14"/>
      <c r="P11" s="14"/>
      <c r="Q11" s="14"/>
      <c r="R11" s="19"/>
      <c r="S11" s="96"/>
      <c r="T11" s="6">
        <v>1</v>
      </c>
      <c r="U11" s="199">
        <v>1</v>
      </c>
      <c r="V11" s="200">
        <f t="array" ref="V11:V30">x_1</f>
        <v>8.826589099815509</v>
      </c>
      <c r="W11" s="201">
        <f t="array" ref="W11:W30">x_2</f>
        <v>0.95980392464393005</v>
      </c>
      <c r="X11" s="202">
        <f t="array" ref="X11:X30">x_2 *x_1</f>
        <v>8.4717948592222587</v>
      </c>
      <c r="Y11" s="9">
        <f t="shared" ref="Y11:Y30" ca="1" si="3">MMULT(U11:X11,wf_ls)</f>
        <v>9.6128829409919394</v>
      </c>
      <c r="Z11" s="90">
        <f t="shared" ref="Z11:Z30" ca="1" si="4">SUMPRODUCT(U11:X11,wf_gd)</f>
        <v>10.082159470695508</v>
      </c>
      <c r="AA11" s="37">
        <f t="array" ref="AA11:AA30" ca="1">t-yf_LS</f>
        <v>6.7024512439880723E-2</v>
      </c>
      <c r="AB11" s="14"/>
      <c r="AC11" s="120"/>
      <c r="AD11" s="120"/>
      <c r="AE11" s="120"/>
      <c r="AF11" s="120"/>
      <c r="AG11" s="120"/>
      <c r="AH11" s="121"/>
    </row>
    <row r="12" spans="2:43" ht="17.25" customHeight="1" thickBot="1" x14ac:dyDescent="0.35">
      <c r="C12" s="6">
        <v>2</v>
      </c>
      <c r="D12" s="1">
        <v>1</v>
      </c>
      <c r="E12" s="7">
        <v>5.2001768616600321</v>
      </c>
      <c r="F12" s="64">
        <v>0.89064488265067032</v>
      </c>
      <c r="G12" s="117">
        <v>2.5839076575070679</v>
      </c>
      <c r="H12" s="157">
        <f ca="1"/>
        <v>4.7851999089878579</v>
      </c>
      <c r="I12" s="38">
        <f t="shared" ref="I11:I30" ca="1" si="5">MMULT(D12:G12,wxx_ls)</f>
        <v>5.8188060746055301</v>
      </c>
      <c r="J12" s="37">
        <f t="shared" ca="1" si="0"/>
        <v>6.0619393393299941</v>
      </c>
      <c r="K12" s="41">
        <f t="shared" ca="1" si="1"/>
        <v>5.8230806568627846</v>
      </c>
      <c r="L12" s="37">
        <f t="shared" ca="1" si="2"/>
        <v>5.9639791581812887</v>
      </c>
      <c r="M12" s="14"/>
      <c r="N12" s="14"/>
      <c r="O12" s="14"/>
      <c r="P12" s="14"/>
      <c r="Q12" s="14"/>
      <c r="R12" s="19"/>
      <c r="S12" s="96"/>
      <c r="T12" s="6">
        <v>2</v>
      </c>
      <c r="U12" s="1">
        <v>1</v>
      </c>
      <c r="V12" s="61">
        <v>5.2001768616600321</v>
      </c>
      <c r="W12" s="7">
        <v>0.89064488265067032</v>
      </c>
      <c r="X12" s="203">
        <v>4.6315109107159307</v>
      </c>
      <c r="Y12" s="38">
        <f t="shared" ca="1" si="3"/>
        <v>5.7330142453654087</v>
      </c>
      <c r="Z12" s="37">
        <f t="shared" ca="1" si="4"/>
        <v>5.7517061045196538</v>
      </c>
      <c r="AA12" s="37">
        <f ca="1"/>
        <v>-0.94781433637755086</v>
      </c>
      <c r="AB12" s="120"/>
      <c r="AC12" s="120"/>
      <c r="AD12" s="120"/>
      <c r="AE12" s="120"/>
      <c r="AF12" s="120"/>
      <c r="AG12" s="120"/>
      <c r="AH12" s="121"/>
    </row>
    <row r="13" spans="2:43" ht="19.5" customHeight="1" thickBot="1" x14ac:dyDescent="0.35">
      <c r="C13" s="6">
        <v>3</v>
      </c>
      <c r="D13" s="1">
        <v>1</v>
      </c>
      <c r="E13" s="7">
        <v>7.6763914509093567</v>
      </c>
      <c r="F13" s="64">
        <v>0.78777685436478651</v>
      </c>
      <c r="G13" s="117">
        <v>2.7332626108191072</v>
      </c>
      <c r="H13" s="157">
        <f ca="1"/>
        <v>6.665105886647325</v>
      </c>
      <c r="I13" s="38">
        <f t="shared" ca="1" si="5"/>
        <v>7.8392783844891705</v>
      </c>
      <c r="J13" s="37">
        <f t="shared" ca="1" si="0"/>
        <v>8.3212477898150148</v>
      </c>
      <c r="K13" s="41">
        <f t="shared" ca="1" si="1"/>
        <v>7.8186326744749142</v>
      </c>
      <c r="L13" s="37">
        <f t="shared" ca="1" si="2"/>
        <v>8.5037707330448722</v>
      </c>
      <c r="M13" s="14"/>
      <c r="N13" s="14"/>
      <c r="O13" s="14"/>
      <c r="P13" s="14"/>
      <c r="Q13" s="14"/>
      <c r="R13" s="19"/>
      <c r="S13" s="14"/>
      <c r="T13" s="6">
        <v>3</v>
      </c>
      <c r="U13" s="1">
        <v>1</v>
      </c>
      <c r="V13" s="61">
        <v>7.6763914509093567</v>
      </c>
      <c r="W13" s="7">
        <v>0.78777685436478651</v>
      </c>
      <c r="X13" s="203">
        <v>6.0472835100701126</v>
      </c>
      <c r="Y13" s="38">
        <f t="shared" ca="1" si="3"/>
        <v>7.2718014855686821</v>
      </c>
      <c r="Z13" s="37">
        <f t="shared" ca="1" si="4"/>
        <v>7.7779124448489538</v>
      </c>
      <c r="AA13" s="37">
        <f ca="1"/>
        <v>-0.60669559892135716</v>
      </c>
      <c r="AB13" s="120"/>
      <c r="AC13" s="120"/>
      <c r="AD13" s="120"/>
      <c r="AE13" s="120"/>
      <c r="AF13" s="120"/>
      <c r="AG13" s="120"/>
      <c r="AH13" s="121"/>
    </row>
    <row r="14" spans="2:43" ht="17.25" customHeight="1" thickBot="1" x14ac:dyDescent="0.3">
      <c r="C14" s="6">
        <v>4</v>
      </c>
      <c r="D14" s="1">
        <v>1</v>
      </c>
      <c r="E14" s="7">
        <v>5.2252387207048461</v>
      </c>
      <c r="F14" s="64">
        <v>1.4240352580445066</v>
      </c>
      <c r="G14" s="117">
        <v>4.2452456298179868</v>
      </c>
      <c r="H14" s="157">
        <f ca="1"/>
        <v>8.5027367037333583</v>
      </c>
      <c r="I14" s="38">
        <f t="shared" ca="1" si="5"/>
        <v>8.3277295241188689</v>
      </c>
      <c r="J14" s="37">
        <f t="shared" ca="1" si="0"/>
        <v>6.8536297497402749</v>
      </c>
      <c r="K14" s="41">
        <f t="shared" ca="1" si="1"/>
        <v>8.0242924125907464</v>
      </c>
      <c r="L14" s="37">
        <f t="shared" ca="1" si="2"/>
        <v>6.2082299438101742</v>
      </c>
      <c r="M14" s="14"/>
      <c r="N14" s="3"/>
      <c r="O14" s="3"/>
      <c r="P14" s="3"/>
      <c r="Q14" s="3"/>
      <c r="R14" s="19"/>
      <c r="S14" s="14"/>
      <c r="T14" s="6">
        <v>4</v>
      </c>
      <c r="U14" s="1">
        <v>1</v>
      </c>
      <c r="V14" s="61">
        <v>5.2252387207048461</v>
      </c>
      <c r="W14" s="7">
        <v>1.4240352580445066</v>
      </c>
      <c r="X14" s="203">
        <v>7.4409241699830728</v>
      </c>
      <c r="Y14" s="38">
        <f t="shared" ca="1" si="3"/>
        <v>8.2689460368192744</v>
      </c>
      <c r="Z14" s="37">
        <f t="shared" ca="1" si="4"/>
        <v>7.9554935935701874</v>
      </c>
      <c r="AA14" s="37">
        <f ca="1"/>
        <v>0.2337906669140839</v>
      </c>
      <c r="AB14" s="14"/>
      <c r="AC14" s="14"/>
      <c r="AD14" s="14"/>
      <c r="AE14" s="14"/>
      <c r="AF14" s="14"/>
      <c r="AG14" s="14"/>
      <c r="AH14" s="19"/>
    </row>
    <row r="15" spans="2:43" ht="15.75" customHeight="1" thickBot="1" x14ac:dyDescent="0.3">
      <c r="C15" s="6">
        <v>5</v>
      </c>
      <c r="D15" s="1">
        <v>1</v>
      </c>
      <c r="E15" s="7">
        <v>5.0373006201932977</v>
      </c>
      <c r="F15" s="64">
        <v>0.63760964819091726</v>
      </c>
      <c r="G15" s="117">
        <v>1.8598202475409531</v>
      </c>
      <c r="H15" s="157">
        <f ca="1"/>
        <v>4.9602970286449519</v>
      </c>
      <c r="I15" s="38">
        <f t="shared" ca="1" si="5"/>
        <v>4.4941532245942808</v>
      </c>
      <c r="J15" s="37">
        <f t="shared" ca="1" si="0"/>
        <v>5.5716345195318517</v>
      </c>
      <c r="K15" s="41">
        <f t="shared" ca="1" si="1"/>
        <v>4.6315707825875077</v>
      </c>
      <c r="L15" s="37">
        <f t="shared" ca="1" si="2"/>
        <v>5.6906802374352532</v>
      </c>
      <c r="M15" s="14"/>
      <c r="N15" s="14"/>
      <c r="O15" s="14"/>
      <c r="P15" s="14"/>
      <c r="Q15" s="14"/>
      <c r="R15" s="19"/>
      <c r="S15" s="14"/>
      <c r="T15" s="6">
        <v>5</v>
      </c>
      <c r="U15" s="2">
        <v>1</v>
      </c>
      <c r="V15" s="204">
        <v>5.0373006201932977</v>
      </c>
      <c r="W15" s="8">
        <v>0.63760964819091726</v>
      </c>
      <c r="X15" s="205">
        <v>3.2118314762733378</v>
      </c>
      <c r="Y15" s="38">
        <f t="shared" ca="1" si="3"/>
        <v>4.4373563401909335</v>
      </c>
      <c r="Z15" s="37">
        <f t="shared" ca="1" si="4"/>
        <v>4.5813481801048646</v>
      </c>
      <c r="AA15" s="37">
        <f ca="1"/>
        <v>0.52294068845401842</v>
      </c>
      <c r="AB15" s="14"/>
      <c r="AC15" s="14"/>
      <c r="AD15" s="14"/>
      <c r="AE15" s="14"/>
      <c r="AF15" s="14"/>
      <c r="AG15" s="14"/>
      <c r="AH15" s="19"/>
    </row>
    <row r="16" spans="2:43" ht="17.25" customHeight="1" thickBot="1" x14ac:dyDescent="0.3">
      <c r="C16" s="6">
        <v>6</v>
      </c>
      <c r="D16" s="1">
        <v>1</v>
      </c>
      <c r="E16" s="7">
        <v>4.5396495886402359</v>
      </c>
      <c r="F16" s="64">
        <v>1.0570082419952114</v>
      </c>
      <c r="G16" s="117">
        <v>2.2566143928118043</v>
      </c>
      <c r="H16" s="157">
        <f ca="1"/>
        <v>6.5178560827811722</v>
      </c>
      <c r="I16" s="38">
        <f t="shared" ca="1" si="5"/>
        <v>5.7873112838779015</v>
      </c>
      <c r="J16" s="37">
        <f t="shared" ca="1" si="0"/>
        <v>5.4103584325123908</v>
      </c>
      <c r="K16" s="41">
        <f t="shared" ca="1" si="1"/>
        <v>5.857716019202531</v>
      </c>
      <c r="L16" s="37">
        <f t="shared" ca="1" si="2"/>
        <v>5.3433028614444567</v>
      </c>
      <c r="M16" s="14"/>
      <c r="N16" s="3"/>
      <c r="O16" s="3"/>
      <c r="P16" s="3"/>
      <c r="Q16" s="14"/>
      <c r="R16" s="19"/>
      <c r="S16" s="14"/>
      <c r="T16" s="6">
        <v>6</v>
      </c>
      <c r="U16" s="199">
        <v>1</v>
      </c>
      <c r="V16" s="200">
        <v>4.5396495886402359</v>
      </c>
      <c r="W16" s="201">
        <v>1.0570082419952114</v>
      </c>
      <c r="X16" s="206">
        <v>4.7984470309629002</v>
      </c>
      <c r="Y16" s="38">
        <f t="shared" ca="1" si="3"/>
        <v>5.8038519590055477</v>
      </c>
      <c r="Z16" s="37">
        <f t="shared" ca="1" si="4"/>
        <v>5.6416368289133345</v>
      </c>
      <c r="AA16" s="37">
        <f ca="1"/>
        <v>0.7140041237756245</v>
      </c>
      <c r="AB16" s="14"/>
      <c r="AC16" s="14"/>
      <c r="AD16" s="14"/>
      <c r="AE16" s="14"/>
      <c r="AF16" s="14"/>
      <c r="AG16" s="14"/>
      <c r="AH16" s="19"/>
    </row>
    <row r="17" spans="3:34" ht="15.75" customHeight="1" thickBot="1" x14ac:dyDescent="0.3">
      <c r="C17" s="6">
        <v>7</v>
      </c>
      <c r="D17" s="1">
        <v>1</v>
      </c>
      <c r="E17" s="7">
        <v>1.5551641235380631</v>
      </c>
      <c r="F17" s="64">
        <v>9.7940468418244997E-2</v>
      </c>
      <c r="G17" s="117">
        <v>3.1153655952125394</v>
      </c>
      <c r="H17" s="157">
        <f ca="1"/>
        <v>0.84951466034364931</v>
      </c>
      <c r="I17" s="38">
        <f t="shared" ca="1" si="5"/>
        <v>-0.83721033296818737</v>
      </c>
      <c r="J17" s="37">
        <f t="shared" ca="1" si="0"/>
        <v>2.65262467804913</v>
      </c>
      <c r="K17" s="41">
        <f t="shared" ca="1" si="1"/>
        <v>-0.96737449987787771</v>
      </c>
      <c r="L17" s="37">
        <f t="shared" ca="1" si="2"/>
        <v>1.8392978479947037</v>
      </c>
      <c r="M17" s="14"/>
      <c r="N17" s="14"/>
      <c r="O17" s="14"/>
      <c r="P17" s="14"/>
      <c r="Q17" s="14"/>
      <c r="R17" s="19"/>
      <c r="S17" s="14"/>
      <c r="T17" s="6">
        <v>7</v>
      </c>
      <c r="U17" s="1">
        <v>1</v>
      </c>
      <c r="V17" s="61">
        <v>1.5551641235380631</v>
      </c>
      <c r="W17" s="7">
        <v>9.7940468418244997E-2</v>
      </c>
      <c r="X17" s="203">
        <v>0.15231350272656732</v>
      </c>
      <c r="Y17" s="38">
        <f t="shared" ca="1" si="3"/>
        <v>1.4444813128285996</v>
      </c>
      <c r="Z17" s="37">
        <f t="shared" ca="1" si="4"/>
        <v>0.82792622506552127</v>
      </c>
      <c r="AA17" s="37">
        <f ca="1"/>
        <v>-0.59496665248495029</v>
      </c>
      <c r="AB17" s="14"/>
      <c r="AC17" s="14"/>
      <c r="AD17" s="14"/>
      <c r="AE17" s="14"/>
      <c r="AF17" s="14"/>
      <c r="AG17" s="14"/>
      <c r="AH17" s="19"/>
    </row>
    <row r="18" spans="3:34" ht="15.75" customHeight="1" thickBot="1" x14ac:dyDescent="0.3">
      <c r="C18" s="6">
        <v>8</v>
      </c>
      <c r="D18" s="1">
        <v>1</v>
      </c>
      <c r="E18" s="7">
        <v>4.3360277348442793</v>
      </c>
      <c r="F18" s="64">
        <v>1.9064381193630633</v>
      </c>
      <c r="G18" s="117">
        <v>2.1222922272232667</v>
      </c>
      <c r="H18" s="157">
        <f ca="1"/>
        <v>8.4610610292854691</v>
      </c>
      <c r="I18" s="38">
        <f t="shared" ca="1" si="5"/>
        <v>9.0068466500939159</v>
      </c>
      <c r="J18" s="37">
        <f t="shared" ca="1" si="0"/>
        <v>5.4883695940557766</v>
      </c>
      <c r="K18" s="41">
        <f t="shared" ca="1" si="1"/>
        <v>9.125621490474515</v>
      </c>
      <c r="L18" s="37">
        <f t="shared" ca="1" si="2"/>
        <v>5.478351849678063</v>
      </c>
      <c r="M18" s="14"/>
      <c r="N18" s="128" t="s">
        <v>44</v>
      </c>
      <c r="O18" s="3"/>
      <c r="P18" s="3"/>
      <c r="Q18" s="3"/>
      <c r="R18" s="19"/>
      <c r="S18" s="14"/>
      <c r="T18" s="6">
        <v>8</v>
      </c>
      <c r="U18" s="1">
        <v>1</v>
      </c>
      <c r="V18" s="61">
        <v>4.3360277348442793</v>
      </c>
      <c r="W18" s="7">
        <v>1.9064381193630633</v>
      </c>
      <c r="X18" s="203">
        <v>8.2663685603226114</v>
      </c>
      <c r="Y18" s="38">
        <f t="shared" ca="1" si="3"/>
        <v>8.8657156848930754</v>
      </c>
      <c r="Z18" s="37">
        <f t="shared" ca="1" si="4"/>
        <v>8.2973002374282441</v>
      </c>
      <c r="AA18" s="37">
        <f ca="1"/>
        <v>-0.40465465560760627</v>
      </c>
      <c r="AB18" s="14"/>
      <c r="AC18" s="14"/>
      <c r="AD18" s="14"/>
      <c r="AE18" s="14"/>
      <c r="AF18" s="14"/>
      <c r="AG18" s="14"/>
      <c r="AH18" s="19"/>
    </row>
    <row r="19" spans="3:34" ht="15.75" customHeight="1" thickBot="1" x14ac:dyDescent="0.3">
      <c r="C19" s="6">
        <v>9</v>
      </c>
      <c r="D19" s="1">
        <v>1</v>
      </c>
      <c r="E19" s="7">
        <v>4.4798919516482139</v>
      </c>
      <c r="F19" s="64">
        <v>0.77569167945162731</v>
      </c>
      <c r="G19" s="117">
        <v>3.3277680464501405</v>
      </c>
      <c r="H19" s="157">
        <f ca="1"/>
        <v>5.2298593652923797</v>
      </c>
      <c r="I19" s="38">
        <f t="shared" ca="1" si="5"/>
        <v>4.7964202989084193</v>
      </c>
      <c r="J19" s="37">
        <f t="shared" ca="1" si="0"/>
        <v>5.6244582775705396</v>
      </c>
      <c r="K19" s="41">
        <f t="shared" ca="1" si="1"/>
        <v>4.6513743067660229</v>
      </c>
      <c r="L19" s="37">
        <f t="shared" ca="1" si="2"/>
        <v>5.1659567961105584</v>
      </c>
      <c r="M19" s="14"/>
      <c r="N19" s="14"/>
      <c r="O19" s="14"/>
      <c r="P19" s="14"/>
      <c r="Q19" s="14"/>
      <c r="R19" s="19"/>
      <c r="S19" s="14"/>
      <c r="T19" s="6">
        <v>9</v>
      </c>
      <c r="U19" s="1">
        <v>1</v>
      </c>
      <c r="V19" s="61">
        <v>4.4798919516482139</v>
      </c>
      <c r="W19" s="7">
        <v>0.77569167945162731</v>
      </c>
      <c r="X19" s="203">
        <v>3.4750149117358315</v>
      </c>
      <c r="Y19" s="38">
        <f t="shared" ca="1" si="3"/>
        <v>4.6146274288118798</v>
      </c>
      <c r="Z19" s="37">
        <f t="shared" ca="1" si="4"/>
        <v>4.5802846344585486</v>
      </c>
      <c r="AA19" s="37">
        <f ca="1"/>
        <v>0.6152319364804999</v>
      </c>
      <c r="AB19" s="14"/>
      <c r="AC19" s="14"/>
      <c r="AD19" s="14"/>
      <c r="AE19" s="14"/>
      <c r="AF19" s="14"/>
      <c r="AG19" s="14"/>
      <c r="AH19" s="19"/>
    </row>
    <row r="20" spans="3:34" ht="15.75" customHeight="1" thickBot="1" x14ac:dyDescent="0.35">
      <c r="C20" s="6">
        <v>10</v>
      </c>
      <c r="D20" s="1">
        <v>1</v>
      </c>
      <c r="E20" s="7">
        <v>9.8204418343991833</v>
      </c>
      <c r="F20" s="64">
        <v>0.75647751511627814</v>
      </c>
      <c r="G20" s="117">
        <v>4.5500694462288225</v>
      </c>
      <c r="H20" s="157">
        <f ca="1"/>
        <v>8.3750039483413321</v>
      </c>
      <c r="I20" s="38">
        <f t="shared" ca="1" si="5"/>
        <v>10.150143533248068</v>
      </c>
      <c r="J20" s="37">
        <f t="shared" ca="1" si="0"/>
        <v>10.882428008519581</v>
      </c>
      <c r="K20" s="41">
        <f t="shared" ca="1" si="1"/>
        <v>9.7822559057635523</v>
      </c>
      <c r="L20" s="37">
        <f t="shared" ca="1" si="2"/>
        <v>10.726493597557676</v>
      </c>
      <c r="M20" s="14"/>
      <c r="N20" s="14"/>
      <c r="O20" s="14"/>
      <c r="P20" s="14"/>
      <c r="Q20" s="14"/>
      <c r="R20" s="19"/>
      <c r="S20" s="14"/>
      <c r="T20" s="6">
        <v>10</v>
      </c>
      <c r="U20" s="2">
        <v>1</v>
      </c>
      <c r="V20" s="204">
        <v>9.8204418343991833</v>
      </c>
      <c r="W20" s="8">
        <v>0.75647751511627814</v>
      </c>
      <c r="X20" s="205">
        <v>7.428943436230238</v>
      </c>
      <c r="Y20" s="38">
        <f t="shared" ca="1" si="3"/>
        <v>8.7368151886142993</v>
      </c>
      <c r="Z20" s="37">
        <f t="shared" ca="1" si="4"/>
        <v>9.6580636709239833</v>
      </c>
      <c r="AA20" s="37">
        <f ca="1"/>
        <v>-0.36181124027296718</v>
      </c>
      <c r="AC20" s="120"/>
      <c r="AD20" s="120"/>
      <c r="AE20" s="120"/>
      <c r="AF20" s="120"/>
      <c r="AG20" s="120"/>
      <c r="AH20" s="121"/>
    </row>
    <row r="21" spans="3:34" ht="15.75" customHeight="1" thickBot="1" x14ac:dyDescent="0.35">
      <c r="C21" s="6">
        <v>11</v>
      </c>
      <c r="D21" s="1">
        <v>1</v>
      </c>
      <c r="E21" s="7">
        <v>7.2617432184863056</v>
      </c>
      <c r="F21" s="64">
        <v>1.7613453892347741</v>
      </c>
      <c r="G21" s="117">
        <v>3.0555969792600894</v>
      </c>
      <c r="H21" s="157">
        <f ca="1"/>
        <v>14.312445963822828</v>
      </c>
      <c r="I21" s="38">
        <f t="shared" ca="1" si="5"/>
        <v>11.445370169020848</v>
      </c>
      <c r="J21" s="37">
        <f t="shared" ca="1" si="0"/>
        <v>8.411121322088869</v>
      </c>
      <c r="K21" s="41">
        <f t="shared" ca="1" si="1"/>
        <v>11.387307982675333</v>
      </c>
      <c r="L21" s="37">
        <f t="shared" ca="1" si="2"/>
        <v>8.4695544231458104</v>
      </c>
      <c r="M21" s="14"/>
      <c r="N21" s="14"/>
      <c r="O21" s="14"/>
      <c r="P21" s="14"/>
      <c r="Q21" s="14"/>
      <c r="R21" s="19"/>
      <c r="S21" s="14"/>
      <c r="T21" s="6">
        <v>11</v>
      </c>
      <c r="U21" s="199">
        <v>1</v>
      </c>
      <c r="V21" s="200">
        <v>7.2617432184863056</v>
      </c>
      <c r="W21" s="201">
        <v>1.7613453892347741</v>
      </c>
      <c r="X21" s="206">
        <v>12.790437935687743</v>
      </c>
      <c r="Y21" s="38">
        <f t="shared" ca="1" si="3"/>
        <v>13.41435630660205</v>
      </c>
      <c r="Z21" s="37">
        <f t="shared" ca="1" si="4"/>
        <v>12.836283391327562</v>
      </c>
      <c r="AA21" s="37">
        <f ca="1"/>
        <v>0.89808965722077794</v>
      </c>
      <c r="AB21" s="120"/>
      <c r="AC21" s="120"/>
      <c r="AD21" s="120"/>
      <c r="AE21" s="120"/>
      <c r="AF21" s="120"/>
      <c r="AG21" s="120"/>
      <c r="AH21" s="121"/>
    </row>
    <row r="22" spans="3:34" ht="15.75" customHeight="1" thickBot="1" x14ac:dyDescent="0.35">
      <c r="C22" s="6">
        <v>12</v>
      </c>
      <c r="D22" s="1">
        <v>1</v>
      </c>
      <c r="E22" s="7">
        <v>7.1684812729847769</v>
      </c>
      <c r="F22" s="64">
        <v>8.9373205498430641E-2</v>
      </c>
      <c r="G22" s="117">
        <v>0.41357824953781874</v>
      </c>
      <c r="H22" s="157">
        <f ca="1"/>
        <v>2.2098456198243976</v>
      </c>
      <c r="I22" s="38">
        <f t="shared" ca="1" si="5"/>
        <v>4.0640683831409516</v>
      </c>
      <c r="J22" s="37">
        <f t="shared" ca="1" si="0"/>
        <v>6.8039288540739342</v>
      </c>
      <c r="K22" s="41">
        <f t="shared" ca="1" si="1"/>
        <v>4.4730205334755322</v>
      </c>
      <c r="L22" s="37">
        <f t="shared" ca="1" si="2"/>
        <v>7.6885928464950934</v>
      </c>
      <c r="M22" s="14"/>
      <c r="N22" s="14"/>
      <c r="O22" s="14"/>
      <c r="P22" s="14"/>
      <c r="Q22" s="14"/>
      <c r="R22" s="19"/>
      <c r="S22" s="14"/>
      <c r="T22" s="6">
        <v>12</v>
      </c>
      <c r="U22" s="1">
        <v>1</v>
      </c>
      <c r="V22" s="61">
        <v>7.1684812729847769</v>
      </c>
      <c r="W22" s="7">
        <v>8.9373205498430641E-2</v>
      </c>
      <c r="X22" s="203">
        <v>0.64067014992212012</v>
      </c>
      <c r="Y22" s="38">
        <f t="shared" ca="1" si="3"/>
        <v>2.2702719600608305</v>
      </c>
      <c r="Z22" s="37">
        <f t="shared" ca="1" si="4"/>
        <v>3.4033626073779173</v>
      </c>
      <c r="AA22" s="37">
        <f ca="1"/>
        <v>-6.0426340236432896E-2</v>
      </c>
      <c r="AB22" s="120"/>
      <c r="AC22" s="207" t="s">
        <v>56</v>
      </c>
      <c r="AD22" s="120"/>
      <c r="AE22" s="120"/>
      <c r="AF22" s="120"/>
      <c r="AG22" s="120"/>
      <c r="AH22" s="121"/>
    </row>
    <row r="23" spans="3:34" ht="15.75" customHeight="1" thickBot="1" x14ac:dyDescent="0.35">
      <c r="C23" s="6">
        <v>13</v>
      </c>
      <c r="D23" s="1">
        <v>1</v>
      </c>
      <c r="E23" s="7">
        <v>8.9991329928220676E-2</v>
      </c>
      <c r="F23" s="64">
        <v>1.1111947931370083</v>
      </c>
      <c r="G23" s="117">
        <v>0.71563209656974325</v>
      </c>
      <c r="H23" s="157">
        <f ca="1"/>
        <v>0.60218110250727785</v>
      </c>
      <c r="I23" s="38">
        <f t="shared" ca="1" si="5"/>
        <v>1.3801178140421668</v>
      </c>
      <c r="J23" s="37">
        <f t="shared" ca="1" si="0"/>
        <v>0.86256968333245143</v>
      </c>
      <c r="K23" s="41">
        <f t="shared" ca="1" si="1"/>
        <v>1.738552793990114</v>
      </c>
      <c r="L23" s="37">
        <f t="shared" ca="1" si="2"/>
        <v>0.72596712699792154</v>
      </c>
      <c r="M23" s="14"/>
      <c r="N23" s="14"/>
      <c r="O23" s="14"/>
      <c r="P23" s="14"/>
      <c r="Q23" s="14"/>
      <c r="R23" s="19"/>
      <c r="S23" s="14"/>
      <c r="T23" s="6">
        <v>13</v>
      </c>
      <c r="U23" s="1">
        <v>1</v>
      </c>
      <c r="V23" s="61">
        <v>8.9991329928220676E-2</v>
      </c>
      <c r="W23" s="7">
        <v>1.1111947931370083</v>
      </c>
      <c r="X23" s="203">
        <v>9.9997897243713441E-2</v>
      </c>
      <c r="Y23" s="38">
        <f t="shared" ca="1" si="3"/>
        <v>1.0172330331081108</v>
      </c>
      <c r="Z23" s="37">
        <f t="shared" ca="1" si="4"/>
        <v>0.35848429579519325</v>
      </c>
      <c r="AA23" s="37">
        <f ca="1"/>
        <v>-0.4150519306008329</v>
      </c>
      <c r="AB23" s="120"/>
      <c r="AC23" s="120"/>
      <c r="AD23" s="120"/>
      <c r="AE23" s="120"/>
      <c r="AF23" s="120"/>
      <c r="AG23" s="120"/>
      <c r="AH23" s="121"/>
    </row>
    <row r="24" spans="3:34" ht="15.75" customHeight="1" thickBot="1" x14ac:dyDescent="0.35">
      <c r="C24" s="6">
        <v>14</v>
      </c>
      <c r="D24" s="1">
        <v>1</v>
      </c>
      <c r="E24" s="7">
        <v>4.324668313188516</v>
      </c>
      <c r="F24" s="64">
        <v>0.10782965509994824</v>
      </c>
      <c r="G24" s="117">
        <v>1.9622124828581993</v>
      </c>
      <c r="H24" s="157">
        <f ca="1"/>
        <v>2.3082937600067028</v>
      </c>
      <c r="I24" s="38">
        <f t="shared" ca="1" si="5"/>
        <v>1.6730913536335024</v>
      </c>
      <c r="J24" s="37">
        <f t="shared" ca="1" si="0"/>
        <v>4.7681719282170869</v>
      </c>
      <c r="K24" s="41">
        <f t="shared" ca="1" si="1"/>
        <v>1.7744210426550424</v>
      </c>
      <c r="L24" s="37">
        <f t="shared" ca="1" si="2"/>
        <v>4.7310015432956991</v>
      </c>
      <c r="M24" s="14"/>
      <c r="N24" s="14"/>
      <c r="O24" s="14"/>
      <c r="P24" s="14"/>
      <c r="Q24" s="14"/>
      <c r="R24" s="19"/>
      <c r="S24" s="14"/>
      <c r="T24" s="6">
        <v>14</v>
      </c>
      <c r="U24" s="1">
        <v>1</v>
      </c>
      <c r="V24" s="61">
        <v>4.324668313188516</v>
      </c>
      <c r="W24" s="7">
        <v>0.10782965509994824</v>
      </c>
      <c r="X24" s="203">
        <v>0.46632749263279261</v>
      </c>
      <c r="Y24" s="38">
        <f t="shared" ca="1" si="3"/>
        <v>1.9177563211632416</v>
      </c>
      <c r="Z24" s="37">
        <f t="shared" ca="1" si="4"/>
        <v>2.1556931930280192</v>
      </c>
      <c r="AA24" s="37">
        <f ca="1"/>
        <v>0.39053743884346126</v>
      </c>
      <c r="AB24" s="120"/>
      <c r="AC24" s="120"/>
      <c r="AD24" s="120"/>
      <c r="AE24" s="120"/>
      <c r="AF24" s="120"/>
      <c r="AG24" s="120"/>
      <c r="AH24" s="121"/>
    </row>
    <row r="25" spans="3:34" ht="15.75" customHeight="1" thickBot="1" x14ac:dyDescent="0.3">
      <c r="C25" s="6">
        <v>15</v>
      </c>
      <c r="D25" s="1">
        <v>1</v>
      </c>
      <c r="E25" s="7">
        <v>2.5408329002216501</v>
      </c>
      <c r="F25" s="64">
        <v>0.33949438611138727</v>
      </c>
      <c r="G25" s="117">
        <v>3.3758248616406612</v>
      </c>
      <c r="H25" s="157">
        <f ca="1"/>
        <v>2.1982952161399925</v>
      </c>
      <c r="I25" s="38">
        <f t="shared" ca="1" si="5"/>
        <v>1.1513014128808006</v>
      </c>
      <c r="J25" s="37">
        <f t="shared" ca="1" si="0"/>
        <v>3.7243082975407575</v>
      </c>
      <c r="K25" s="41">
        <f t="shared" ca="1" si="1"/>
        <v>0.97985079810854647</v>
      </c>
      <c r="L25" s="37">
        <f t="shared" ca="1" si="2"/>
        <v>2.9657970851320674</v>
      </c>
      <c r="M25" s="14"/>
      <c r="N25" s="14"/>
      <c r="O25" s="14"/>
      <c r="P25" s="14"/>
      <c r="Q25" s="14"/>
      <c r="R25" s="19"/>
      <c r="S25" s="14"/>
      <c r="T25" s="6">
        <v>15</v>
      </c>
      <c r="U25" s="2">
        <v>1</v>
      </c>
      <c r="V25" s="204">
        <v>2.5408329002216501</v>
      </c>
      <c r="W25" s="8">
        <v>0.33949438611138727</v>
      </c>
      <c r="X25" s="205">
        <v>0.86259850567236485</v>
      </c>
      <c r="Y25" s="38">
        <f t="shared" ca="1" si="3"/>
        <v>2.1179618983151296</v>
      </c>
      <c r="Z25" s="37">
        <f t="shared" ca="1" si="4"/>
        <v>1.7858658737643056</v>
      </c>
      <c r="AA25" s="37">
        <f ca="1"/>
        <v>8.033331782486286E-2</v>
      </c>
      <c r="AB25" s="14"/>
      <c r="AC25" s="14"/>
      <c r="AD25" s="14"/>
      <c r="AE25" s="14"/>
      <c r="AF25" s="14"/>
      <c r="AG25" s="14"/>
      <c r="AH25" s="19"/>
    </row>
    <row r="26" spans="3:34" ht="15.75" customHeight="1" thickBot="1" x14ac:dyDescent="0.3">
      <c r="C26" s="6">
        <v>16</v>
      </c>
      <c r="D26" s="1">
        <v>1</v>
      </c>
      <c r="E26" s="7">
        <v>7.7774171633087787</v>
      </c>
      <c r="F26" s="64">
        <v>1.6737757366600077</v>
      </c>
      <c r="G26" s="117">
        <v>1.6496509749002408</v>
      </c>
      <c r="H26" s="157">
        <f ca="1"/>
        <v>13.169687710974612</v>
      </c>
      <c r="I26" s="38">
        <f t="shared" ca="1" si="5"/>
        <v>11.319311861029906</v>
      </c>
      <c r="J26" s="37">
        <f t="shared" ca="1" si="0"/>
        <v>8.3602943753301275</v>
      </c>
      <c r="K26" s="41">
        <f t="shared" ca="1" si="1"/>
        <v>11.532936444892323</v>
      </c>
      <c r="L26" s="37">
        <f t="shared" ca="1" si="2"/>
        <v>8.971418673339782</v>
      </c>
      <c r="M26" s="14"/>
      <c r="N26" s="14"/>
      <c r="O26" s="14"/>
      <c r="P26" s="14"/>
      <c r="Q26" s="14"/>
      <c r="R26" s="19"/>
      <c r="S26" s="14"/>
      <c r="T26" s="6">
        <v>16</v>
      </c>
      <c r="U26" s="1">
        <v>1</v>
      </c>
      <c r="V26" s="196">
        <v>7.7774171633087787</v>
      </c>
      <c r="W26" s="197">
        <v>1.6737757366600077</v>
      </c>
      <c r="X26" s="198">
        <v>13.017652141829338</v>
      </c>
      <c r="Y26" s="38">
        <f t="shared" ca="1" si="3"/>
        <v>13.688757671678045</v>
      </c>
      <c r="Z26" s="37">
        <f t="shared" ca="1" si="4"/>
        <v>13.197728602960456</v>
      </c>
      <c r="AA26" s="37">
        <f ca="1"/>
        <v>-0.51906996070343325</v>
      </c>
      <c r="AB26" s="14"/>
      <c r="AC26" s="14"/>
      <c r="AD26" s="14"/>
      <c r="AE26" s="14"/>
      <c r="AF26" s="14"/>
      <c r="AG26" s="14"/>
      <c r="AH26" s="19"/>
    </row>
    <row r="27" spans="3:34" ht="15.75" customHeight="1" thickBot="1" x14ac:dyDescent="0.3">
      <c r="C27" s="6">
        <v>17</v>
      </c>
      <c r="D27" s="1">
        <v>1</v>
      </c>
      <c r="E27" s="7">
        <v>4.6900733808727626</v>
      </c>
      <c r="F27" s="64">
        <v>0.88556136113246597</v>
      </c>
      <c r="G27" s="117">
        <v>2.4177127395481568</v>
      </c>
      <c r="H27" s="157">
        <f ca="1"/>
        <v>5.6591254783538663</v>
      </c>
      <c r="I27" s="38">
        <f t="shared" ca="1" si="5"/>
        <v>5.269807054923036</v>
      </c>
      <c r="J27" s="37">
        <f t="shared" ca="1" si="0"/>
        <v>5.5400958957992579</v>
      </c>
      <c r="K27" s="41">
        <f t="shared" ca="1" si="1"/>
        <v>5.3047681974439307</v>
      </c>
      <c r="L27" s="37">
        <f t="shared" ca="1" si="2"/>
        <v>5.4300342957078662</v>
      </c>
      <c r="M27" s="14"/>
      <c r="N27" s="14"/>
      <c r="O27" s="14"/>
      <c r="P27" s="14"/>
      <c r="Q27" s="14"/>
      <c r="R27" s="19"/>
      <c r="S27" s="14"/>
      <c r="T27" s="6">
        <v>17</v>
      </c>
      <c r="U27" s="1">
        <v>1</v>
      </c>
      <c r="V27" s="61">
        <v>4.6900733808727626</v>
      </c>
      <c r="W27" s="7">
        <v>0.88556136113246597</v>
      </c>
      <c r="X27" s="158">
        <v>4.1533477669768297</v>
      </c>
      <c r="Y27" s="38">
        <f t="shared" ca="1" si="3"/>
        <v>5.2452097252136447</v>
      </c>
      <c r="Z27" s="37">
        <f t="shared" ca="1" si="4"/>
        <v>5.1899747984283824</v>
      </c>
      <c r="AA27" s="37">
        <f ca="1"/>
        <v>0.41391575314022155</v>
      </c>
      <c r="AB27" s="14"/>
      <c r="AC27" s="14"/>
      <c r="AD27" s="14"/>
      <c r="AE27" s="14"/>
      <c r="AF27" s="14"/>
      <c r="AG27" s="14"/>
      <c r="AH27" s="19"/>
    </row>
    <row r="28" spans="3:34" ht="15.75" customHeight="1" thickBot="1" x14ac:dyDescent="0.3">
      <c r="C28" s="6">
        <v>18</v>
      </c>
      <c r="D28" s="1">
        <v>1</v>
      </c>
      <c r="E28" s="7">
        <v>4.721257252422193</v>
      </c>
      <c r="F28" s="64">
        <v>0.14680895214461964</v>
      </c>
      <c r="G28" s="117">
        <v>3.5352929345488788</v>
      </c>
      <c r="H28" s="157">
        <f ca="1"/>
        <v>2.4931101905591428</v>
      </c>
      <c r="I28" s="38">
        <f t="shared" ca="1" si="5"/>
        <v>2.5219028748370893</v>
      </c>
      <c r="J28" s="37">
        <f t="shared" ca="1" si="0"/>
        <v>5.6862536571740261</v>
      </c>
      <c r="K28" s="41">
        <f t="shared" ca="1" si="1"/>
        <v>2.3203374623549333</v>
      </c>
      <c r="L28" s="37">
        <f t="shared" ca="1" si="2"/>
        <v>5.1604500108721503</v>
      </c>
      <c r="M28" s="14"/>
      <c r="N28" s="14"/>
      <c r="O28" s="14"/>
      <c r="P28" s="14"/>
      <c r="Q28" s="14"/>
      <c r="R28" s="19"/>
      <c r="S28" s="14"/>
      <c r="T28" s="6">
        <v>18</v>
      </c>
      <c r="U28" s="1">
        <v>1</v>
      </c>
      <c r="V28" s="61">
        <v>4.721257252422193</v>
      </c>
      <c r="W28" s="7">
        <v>0.14680895214461964</v>
      </c>
      <c r="X28" s="158">
        <v>0.69312283003328812</v>
      </c>
      <c r="Y28" s="38">
        <f t="shared" ca="1" si="3"/>
        <v>2.1487015509823535</v>
      </c>
      <c r="Z28" s="37">
        <f t="shared" ca="1" si="4"/>
        <v>2.4882610314047215</v>
      </c>
      <c r="AA28" s="37">
        <f ca="1"/>
        <v>0.34440863957678935</v>
      </c>
      <c r="AB28" s="14"/>
      <c r="AC28" s="14"/>
      <c r="AD28" s="14"/>
      <c r="AE28" s="14"/>
      <c r="AF28" s="14"/>
      <c r="AG28" s="14"/>
      <c r="AH28" s="19"/>
    </row>
    <row r="29" spans="3:34" ht="15.75" customHeight="1" thickBot="1" x14ac:dyDescent="0.3">
      <c r="C29" s="6">
        <v>19</v>
      </c>
      <c r="D29" s="1">
        <v>1</v>
      </c>
      <c r="E29" s="7">
        <v>4.0885297868513675</v>
      </c>
      <c r="F29" s="64">
        <v>1.2191008333109568</v>
      </c>
      <c r="G29" s="117">
        <v>3.8686723648158354</v>
      </c>
      <c r="H29" s="157">
        <f ca="1"/>
        <v>5.275657626499016</v>
      </c>
      <c r="I29" s="38">
        <f t="shared" ca="1" si="5"/>
        <v>6.3182471945308718</v>
      </c>
      <c r="J29" s="37">
        <f t="shared" ca="1" si="0"/>
        <v>5.6181525237277352</v>
      </c>
      <c r="K29" s="41">
        <f t="shared" ca="1" si="1"/>
        <v>6.0791832199312612</v>
      </c>
      <c r="L29" s="37">
        <f t="shared" ca="1" si="2"/>
        <v>4.9392215504398012</v>
      </c>
      <c r="M29" s="14"/>
      <c r="N29" s="14"/>
      <c r="O29" s="14"/>
      <c r="P29" s="14"/>
      <c r="Q29" s="14"/>
      <c r="R29" s="19"/>
      <c r="S29" s="14"/>
      <c r="T29" s="6">
        <v>19</v>
      </c>
      <c r="U29" s="1">
        <v>1</v>
      </c>
      <c r="V29" s="61">
        <v>4.0885297868513675</v>
      </c>
      <c r="W29" s="7">
        <v>1.2191008333109568</v>
      </c>
      <c r="X29" s="158">
        <v>4.9843300701671707</v>
      </c>
      <c r="Y29" s="38">
        <f t="shared" ca="1" si="3"/>
        <v>5.9073001248413028</v>
      </c>
      <c r="Z29" s="37">
        <f t="shared" ca="1" si="4"/>
        <v>5.6276231417774207</v>
      </c>
      <c r="AA29" s="37">
        <f ca="1"/>
        <v>-0.63164249834228681</v>
      </c>
      <c r="AB29" s="14"/>
      <c r="AC29" s="14"/>
      <c r="AD29" s="14"/>
      <c r="AE29" s="14"/>
      <c r="AF29" s="14"/>
      <c r="AG29" s="14"/>
      <c r="AH29" s="19"/>
    </row>
    <row r="30" spans="3:34" ht="15.75" customHeight="1" thickBot="1" x14ac:dyDescent="0.3">
      <c r="C30" s="6">
        <v>20</v>
      </c>
      <c r="D30" s="2">
        <v>1</v>
      </c>
      <c r="E30" s="8">
        <v>1.8409415949490104</v>
      </c>
      <c r="F30" s="118">
        <v>1.9094747678871258</v>
      </c>
      <c r="G30" s="119">
        <v>3.1053613059541121</v>
      </c>
      <c r="H30" s="157">
        <f ca="1"/>
        <v>4.4292175817947141</v>
      </c>
      <c r="I30" s="38">
        <f t="shared" ca="1" si="5"/>
        <v>6.7828847226606097</v>
      </c>
      <c r="J30" s="37">
        <f t="shared" ca="1" si="0"/>
        <v>3.5674733831068606</v>
      </c>
      <c r="K30" s="41">
        <f t="shared" ca="1" si="1"/>
        <v>6.704249921491451</v>
      </c>
      <c r="L30" s="37">
        <f t="shared" ca="1" si="2"/>
        <v>2.8780594879797352</v>
      </c>
      <c r="M30" s="14"/>
      <c r="N30" s="14"/>
      <c r="O30" s="14"/>
      <c r="P30" s="14"/>
      <c r="Q30" s="14"/>
      <c r="R30" s="19"/>
      <c r="S30" s="14"/>
      <c r="T30" s="6">
        <v>20</v>
      </c>
      <c r="U30" s="1">
        <v>1</v>
      </c>
      <c r="V30" s="61">
        <v>1.8409415949490104</v>
      </c>
      <c r="W30" s="7">
        <v>1.9094747678871258</v>
      </c>
      <c r="X30" s="158">
        <v>3.5152315247090167</v>
      </c>
      <c r="Y30" s="38">
        <f t="shared" ca="1" si="3"/>
        <v>4.1673611029171482</v>
      </c>
      <c r="Z30" s="37">
        <f t="shared" ca="1" si="4"/>
        <v>3.7361335284028581</v>
      </c>
      <c r="AA30" s="37">
        <f ca="1"/>
        <v>0.26185647887756591</v>
      </c>
      <c r="AB30" s="14"/>
      <c r="AC30" s="14"/>
      <c r="AD30" s="14"/>
      <c r="AE30" s="14"/>
      <c r="AF30" s="14"/>
      <c r="AG30" s="14"/>
      <c r="AH30" s="19"/>
    </row>
    <row r="31" spans="3:34" ht="40.5" customHeight="1" thickBot="1" x14ac:dyDescent="0.25">
      <c r="C31" s="6"/>
      <c r="D31" s="185" t="s">
        <v>26</v>
      </c>
      <c r="E31" s="186"/>
      <c r="F31" s="186"/>
      <c r="G31" s="186"/>
      <c r="H31" s="187"/>
      <c r="I31" s="123">
        <f ca="1">SUMPRODUCT((t-yxx_LS)^2,x_0)/(2*N)</f>
        <v>0.84424467394654512</v>
      </c>
      <c r="J31" s="124">
        <f ca="1">SUMPRODUCT((t-yxx_GD)^2,x_0)/(2*N)</f>
        <v>3.1592869695772681</v>
      </c>
      <c r="K31" s="125">
        <f t="array" ref="K31" ca="1">SUMPRODUCT((t-yx_LS)^2,x_0)/(2*N)</f>
        <v>0.8658714202676151</v>
      </c>
      <c r="L31" s="124">
        <f ca="1">SUMPRODUCT((t-yx_GD)^2,x_0)/(2*N)</f>
        <v>3.1327107812832473</v>
      </c>
      <c r="M31" s="193" t="s">
        <v>45</v>
      </c>
      <c r="N31" s="194"/>
      <c r="O31" s="194"/>
      <c r="P31" s="194"/>
      <c r="Q31" s="194"/>
      <c r="R31" s="195"/>
      <c r="S31" s="97"/>
      <c r="T31" s="137"/>
      <c r="U31" s="190" t="s">
        <v>25</v>
      </c>
      <c r="V31" s="191"/>
      <c r="W31" s="191"/>
      <c r="X31" s="192"/>
      <c r="Y31" s="126">
        <f ca="1">SUMPRODUCT((t-yf_LS)^2,f_0)/(2*N)</f>
        <v>0.13260937142454365</v>
      </c>
      <c r="Z31" s="127">
        <f ca="1">SUMPRODUCT((t-yf_GD)^2,f_0)/(2*N)</f>
        <v>0.25805147960885244</v>
      </c>
      <c r="AA31" s="14"/>
      <c r="AB31" s="14"/>
      <c r="AC31" s="14"/>
      <c r="AD31" s="14"/>
      <c r="AE31" s="14"/>
      <c r="AF31" s="14"/>
      <c r="AG31" s="14"/>
      <c r="AH31" s="19"/>
    </row>
    <row r="32" spans="3:34" ht="18" customHeight="1" x14ac:dyDescent="0.2">
      <c r="C32" s="6"/>
      <c r="D32" s="176" t="s">
        <v>50</v>
      </c>
      <c r="E32" s="177"/>
      <c r="F32" s="177"/>
      <c r="G32" s="177"/>
      <c r="H32" s="178"/>
      <c r="I32" s="170">
        <f ca="1">RSQ(t,yxx_LS)</f>
        <v>0.87438337546272449</v>
      </c>
      <c r="J32" s="172">
        <f ca="1">RSQ(t,yxx_GD)</f>
        <v>0.54608717621487368</v>
      </c>
      <c r="K32" s="170">
        <f ca="1">RSQ(t,yx_LS)</f>
        <v>0.87116549449004721</v>
      </c>
      <c r="L32" s="172">
        <f ca="1">RSQ(t,yx_GD)</f>
        <v>0.53530144153788073</v>
      </c>
      <c r="M32" s="129"/>
      <c r="N32" s="129"/>
      <c r="O32" s="129"/>
      <c r="P32" s="129"/>
      <c r="Q32" s="129"/>
      <c r="R32" s="130"/>
      <c r="S32" s="129"/>
      <c r="T32" s="131"/>
      <c r="U32" s="170" t="s">
        <v>50</v>
      </c>
      <c r="V32" s="174"/>
      <c r="W32" s="174"/>
      <c r="X32" s="172"/>
      <c r="Y32" s="170">
        <f ca="1">RSQ(t,yf_LS)</f>
        <v>0.98026882237528234</v>
      </c>
      <c r="Z32" s="172">
        <f ca="1">RSQ(t,yf_GD)</f>
        <v>0.96172075107892119</v>
      </c>
      <c r="AA32" s="14"/>
      <c r="AB32" s="14"/>
      <c r="AC32" s="14"/>
      <c r="AD32" s="14"/>
      <c r="AE32" s="14"/>
      <c r="AF32" s="14"/>
      <c r="AG32" s="14"/>
      <c r="AH32" s="19"/>
    </row>
    <row r="33" spans="3:37" ht="18" customHeight="1" thickBot="1" x14ac:dyDescent="0.35">
      <c r="C33" s="6"/>
      <c r="D33" s="179"/>
      <c r="E33" s="180"/>
      <c r="F33" s="180"/>
      <c r="G33" s="180"/>
      <c r="H33" s="181"/>
      <c r="I33" s="171"/>
      <c r="J33" s="173"/>
      <c r="K33" s="171"/>
      <c r="L33" s="173"/>
      <c r="M33" s="150" t="s">
        <v>51</v>
      </c>
      <c r="N33" s="129"/>
      <c r="O33" s="129"/>
      <c r="P33" s="129"/>
      <c r="Q33" s="129"/>
      <c r="R33" s="130"/>
      <c r="S33" s="129"/>
      <c r="T33" s="131"/>
      <c r="U33" s="171"/>
      <c r="V33" s="175"/>
      <c r="W33" s="175"/>
      <c r="X33" s="173"/>
      <c r="Y33" s="171"/>
      <c r="Z33" s="173"/>
      <c r="AA33" s="14"/>
      <c r="AB33" s="150" t="s">
        <v>58</v>
      </c>
      <c r="AC33" s="14"/>
      <c r="AD33" s="14"/>
      <c r="AE33" s="14"/>
      <c r="AF33" s="14"/>
      <c r="AG33" s="14"/>
      <c r="AH33" s="19"/>
    </row>
    <row r="34" spans="3:37" ht="24.75" customHeight="1" thickBot="1" x14ac:dyDescent="0.4">
      <c r="C34" s="6"/>
      <c r="D34" s="101" t="s">
        <v>46</v>
      </c>
      <c r="E34" s="14"/>
      <c r="F34" s="14"/>
      <c r="G34" s="14"/>
      <c r="H34" s="14"/>
      <c r="I34" s="14"/>
      <c r="J34" s="14"/>
      <c r="K34" s="14"/>
      <c r="L34" s="14"/>
      <c r="M34" s="14"/>
      <c r="N34" s="14"/>
      <c r="O34" s="14"/>
      <c r="P34" s="14"/>
      <c r="Q34" s="14"/>
      <c r="R34" s="19"/>
      <c r="S34" s="14"/>
      <c r="T34" s="6"/>
      <c r="U34" s="14"/>
      <c r="V34" s="14"/>
      <c r="W34" s="14"/>
      <c r="X34" s="14"/>
      <c r="Y34" s="14"/>
      <c r="Z34" s="14"/>
      <c r="AA34" s="14"/>
      <c r="AB34" s="150" t="s">
        <v>59</v>
      </c>
      <c r="AC34" s="14"/>
      <c r="AD34" s="14"/>
      <c r="AE34" s="14"/>
      <c r="AF34" s="14"/>
      <c r="AG34" s="14"/>
      <c r="AH34" s="19"/>
    </row>
    <row r="35" spans="3:37" ht="41.25" x14ac:dyDescent="0.75">
      <c r="C35" s="6"/>
      <c r="D35" s="54" t="s">
        <v>32</v>
      </c>
      <c r="E35" s="55"/>
      <c r="F35" s="56"/>
      <c r="G35" s="56"/>
      <c r="H35" s="56"/>
      <c r="I35" s="56"/>
      <c r="J35" s="56"/>
      <c r="K35" s="54" t="s">
        <v>33</v>
      </c>
      <c r="L35" s="55"/>
      <c r="M35" s="56"/>
      <c r="N35" s="56"/>
      <c r="O35" s="56"/>
      <c r="P35" s="57"/>
      <c r="Q35" s="58"/>
      <c r="R35" s="102"/>
      <c r="S35" s="58"/>
      <c r="T35" s="108"/>
      <c r="U35" s="54" t="s">
        <v>34</v>
      </c>
      <c r="V35" s="55"/>
      <c r="W35" s="56"/>
      <c r="X35" s="56"/>
      <c r="Y35" s="56"/>
      <c r="Z35" s="56"/>
      <c r="AA35" s="57"/>
      <c r="AB35" s="58"/>
      <c r="AC35" s="14"/>
      <c r="AD35" s="14"/>
      <c r="AE35" s="14"/>
      <c r="AF35" s="14"/>
      <c r="AG35" s="14"/>
      <c r="AH35" s="19"/>
    </row>
    <row r="36" spans="3:37" ht="33.75" x14ac:dyDescent="0.2">
      <c r="C36" s="6"/>
      <c r="D36" s="26" t="s">
        <v>52</v>
      </c>
      <c r="E36" s="27"/>
      <c r="F36" s="14"/>
      <c r="G36" s="14"/>
      <c r="H36" s="14"/>
      <c r="I36" s="14"/>
      <c r="J36" s="14"/>
      <c r="K36" s="26" t="s">
        <v>53</v>
      </c>
      <c r="L36" s="14"/>
      <c r="M36" s="14"/>
      <c r="N36" s="14"/>
      <c r="O36" s="14"/>
      <c r="P36" s="19"/>
      <c r="Q36" s="14"/>
      <c r="R36" s="19"/>
      <c r="S36" s="14"/>
      <c r="T36" s="6"/>
      <c r="U36" s="93" t="s">
        <v>16</v>
      </c>
      <c r="V36" s="27"/>
      <c r="W36" s="14"/>
      <c r="X36" s="14"/>
      <c r="Y36" s="14"/>
      <c r="Z36" s="14"/>
      <c r="AA36" s="19"/>
      <c r="AB36" s="14"/>
      <c r="AC36" s="14"/>
      <c r="AD36" s="14"/>
      <c r="AE36" s="14"/>
      <c r="AF36" s="14"/>
      <c r="AG36" s="14"/>
      <c r="AH36" s="19"/>
    </row>
    <row r="37" spans="3:37" ht="21.95" customHeight="1" x14ac:dyDescent="0.55000000000000004">
      <c r="C37" s="188" t="s">
        <v>3</v>
      </c>
      <c r="D37" s="144" t="s">
        <v>1</v>
      </c>
      <c r="E37" s="142">
        <f t="array" aca="1" ref="E37:E40" ca="1">MMULT(MINVERSE(MMULT(TRANSPOSE(X_),X_)), MMULT(TRANSPOSE(X_),t))</f>
        <v>-3.3510320379087979</v>
      </c>
      <c r="F37" s="47"/>
      <c r="G37" s="47"/>
      <c r="H37" s="47"/>
      <c r="I37" s="47"/>
      <c r="J37" s="47"/>
      <c r="K37" s="188" t="s">
        <v>3</v>
      </c>
      <c r="L37" s="141" t="s">
        <v>1</v>
      </c>
      <c r="M37" s="142">
        <f t="array" aca="1" ref="M37:M39" ca="1">MMULT(MINVERSE(MMULT(TRANSPOSE(X),X)), MMULT(TRANSPOSE(X),t))</f>
        <v>-2.8840121823153737</v>
      </c>
      <c r="N37" s="3"/>
      <c r="O37" s="47"/>
      <c r="P37" s="50"/>
      <c r="Q37" s="47"/>
      <c r="R37" s="19"/>
      <c r="S37" s="4"/>
      <c r="T37" s="189" t="s">
        <v>3</v>
      </c>
      <c r="U37" s="144" t="s">
        <v>1</v>
      </c>
      <c r="V37" s="143">
        <f t="array" aca="1" ref="V37:V40" ca="1">MMULT(MINVERSE(MMULT(TRANSPOSE(F),F)), MMULT(TRANSPOSE(F),t))</f>
        <v>1.2275711692149542</v>
      </c>
      <c r="W37" s="47"/>
      <c r="X37" s="47"/>
      <c r="Y37" s="47"/>
      <c r="Z37" s="47"/>
      <c r="AA37" s="50"/>
      <c r="AB37" s="14"/>
      <c r="AC37" s="14"/>
      <c r="AD37" s="14"/>
      <c r="AE37" s="14"/>
      <c r="AF37" s="14"/>
      <c r="AG37" s="14"/>
      <c r="AH37" s="19"/>
    </row>
    <row r="38" spans="3:37" ht="21.95" customHeight="1" x14ac:dyDescent="0.55000000000000004">
      <c r="C38" s="188"/>
      <c r="D38" s="144" t="s">
        <v>2</v>
      </c>
      <c r="E38" s="142">
        <f ca="1"/>
        <v>0.97267173637150994</v>
      </c>
      <c r="F38" s="47"/>
      <c r="G38" s="47"/>
      <c r="H38" s="47"/>
      <c r="I38" s="47"/>
      <c r="J38" s="47"/>
      <c r="K38" s="188"/>
      <c r="L38" s="141" t="s">
        <v>2</v>
      </c>
      <c r="M38" s="142">
        <f ca="1"/>
        <v>0.9754228886597861</v>
      </c>
      <c r="N38" s="3"/>
      <c r="O38" s="47"/>
      <c r="P38" s="50"/>
      <c r="Q38" s="47"/>
      <c r="R38" s="19"/>
      <c r="S38" s="4"/>
      <c r="T38" s="189"/>
      <c r="U38" s="144" t="s">
        <v>2</v>
      </c>
      <c r="V38" s="143">
        <f ca="1"/>
        <v>6.3571744327894919E-2</v>
      </c>
      <c r="W38" s="47"/>
      <c r="X38" s="47"/>
      <c r="Y38" s="47"/>
      <c r="Z38" s="47"/>
      <c r="AA38" s="50"/>
      <c r="AB38" s="14"/>
      <c r="AC38" s="14"/>
      <c r="AD38" s="14"/>
      <c r="AE38" s="14"/>
      <c r="AF38" s="14"/>
      <c r="AG38" s="14"/>
      <c r="AH38" s="19"/>
    </row>
    <row r="39" spans="3:37" ht="21.95" customHeight="1" x14ac:dyDescent="0.55000000000000004">
      <c r="C39" s="188"/>
      <c r="D39" s="144" t="s">
        <v>17</v>
      </c>
      <c r="E39" s="142">
        <f ca="1"/>
        <v>4.054059214796176</v>
      </c>
      <c r="F39" s="47"/>
      <c r="G39" s="47"/>
      <c r="H39" s="47"/>
      <c r="I39" s="47"/>
      <c r="J39" s="47"/>
      <c r="K39" s="188"/>
      <c r="L39" s="141" t="s">
        <v>17</v>
      </c>
      <c r="M39" s="142">
        <f ca="1"/>
        <v>4.0809994803075327</v>
      </c>
      <c r="N39" s="3"/>
      <c r="O39" s="47"/>
      <c r="P39" s="50"/>
      <c r="Q39" s="47"/>
      <c r="R39" s="19"/>
      <c r="S39" s="4"/>
      <c r="T39" s="189"/>
      <c r="U39" s="144" t="s">
        <v>17</v>
      </c>
      <c r="V39" s="143">
        <f ca="1"/>
        <v>-0.28040957681801615</v>
      </c>
      <c r="W39" s="47"/>
      <c r="X39" s="47"/>
      <c r="Y39" s="47"/>
      <c r="Z39" s="47"/>
      <c r="AA39" s="50"/>
      <c r="AB39" s="14"/>
      <c r="AC39" s="14"/>
      <c r="AD39" s="14"/>
      <c r="AE39" s="14"/>
      <c r="AF39" s="14"/>
      <c r="AG39" s="14"/>
      <c r="AH39" s="19"/>
    </row>
    <row r="40" spans="3:37" ht="21.95" customHeight="1" thickBot="1" x14ac:dyDescent="0.6">
      <c r="C40" s="188"/>
      <c r="D40" s="145" t="s">
        <v>18</v>
      </c>
      <c r="E40" s="146">
        <f ca="1"/>
        <v>0.19391016546888196</v>
      </c>
      <c r="F40" s="46"/>
      <c r="G40" s="46"/>
      <c r="H40" s="46"/>
      <c r="I40" s="46"/>
      <c r="J40" s="46"/>
      <c r="K40" s="52"/>
      <c r="L40" s="46"/>
      <c r="M40" s="46"/>
      <c r="N40" s="46"/>
      <c r="O40" s="46"/>
      <c r="P40" s="51"/>
      <c r="Q40" s="5"/>
      <c r="R40" s="19"/>
      <c r="S40" s="4"/>
      <c r="T40" s="189"/>
      <c r="U40" s="145" t="s">
        <v>18</v>
      </c>
      <c r="V40" s="147">
        <f ca="1"/>
        <v>0.95532628599517366</v>
      </c>
      <c r="W40" s="46"/>
      <c r="X40" s="46"/>
      <c r="Y40" s="46"/>
      <c r="Z40" s="46"/>
      <c r="AA40" s="51"/>
      <c r="AB40" s="14"/>
      <c r="AC40" s="14"/>
      <c r="AD40" s="14"/>
      <c r="AE40" s="14"/>
      <c r="AF40" s="14"/>
      <c r="AG40" s="14"/>
      <c r="AH40" s="19"/>
    </row>
    <row r="41" spans="3:37" ht="20.100000000000001" customHeight="1" thickBot="1" x14ac:dyDescent="0.6">
      <c r="C41" s="6"/>
      <c r="D41" s="94"/>
      <c r="E41" s="14"/>
      <c r="F41" s="47"/>
      <c r="G41" s="47"/>
      <c r="H41" s="47"/>
      <c r="I41" s="47"/>
      <c r="J41" s="47"/>
      <c r="K41" s="47"/>
      <c r="L41" s="47"/>
      <c r="M41" s="47"/>
      <c r="N41" s="47"/>
      <c r="O41" s="47"/>
      <c r="P41" s="47"/>
      <c r="Q41" s="5"/>
      <c r="R41" s="13"/>
      <c r="S41" s="5"/>
      <c r="T41" s="1"/>
      <c r="U41" s="5"/>
      <c r="V41" s="14"/>
      <c r="W41" s="14"/>
      <c r="X41" s="14"/>
      <c r="Y41" s="14"/>
      <c r="Z41" s="14"/>
      <c r="AA41" s="14"/>
      <c r="AB41" s="14"/>
      <c r="AC41" s="14"/>
      <c r="AD41" s="14"/>
      <c r="AE41" s="14"/>
      <c r="AF41" s="14"/>
      <c r="AG41" s="14"/>
      <c r="AH41" s="19"/>
    </row>
    <row r="42" spans="3:37" ht="33.75" customHeight="1" x14ac:dyDescent="0.45">
      <c r="C42" s="6"/>
      <c r="D42" s="21" t="s">
        <v>54</v>
      </c>
      <c r="E42" s="15"/>
      <c r="F42" s="48"/>
      <c r="G42" s="15"/>
      <c r="H42" s="48"/>
      <c r="I42" s="48"/>
      <c r="J42" s="49"/>
      <c r="K42" s="21" t="s">
        <v>38</v>
      </c>
      <c r="L42" s="48"/>
      <c r="M42" s="15"/>
      <c r="N42" s="48"/>
      <c r="O42" s="48"/>
      <c r="P42" s="49"/>
      <c r="Q42" s="153" t="s">
        <v>19</v>
      </c>
      <c r="R42" s="155" t="s">
        <v>20</v>
      </c>
      <c r="S42" s="22"/>
      <c r="T42" s="109"/>
      <c r="U42" s="21" t="s">
        <v>35</v>
      </c>
      <c r="V42" s="15"/>
      <c r="W42" s="15"/>
      <c r="X42" s="15"/>
      <c r="Y42" s="15"/>
      <c r="Z42" s="15"/>
      <c r="AA42" s="16"/>
      <c r="AB42" s="14"/>
      <c r="AC42" s="14"/>
      <c r="AD42" s="14"/>
      <c r="AE42" s="14"/>
      <c r="AF42" s="14"/>
      <c r="AG42" s="14"/>
      <c r="AH42" s="19"/>
    </row>
    <row r="43" spans="3:37" ht="29.25" customHeight="1" x14ac:dyDescent="0.2">
      <c r="C43" s="6"/>
      <c r="D43" s="26"/>
      <c r="E43" s="5"/>
      <c r="F43" s="5"/>
      <c r="G43" s="27" t="s">
        <v>39</v>
      </c>
      <c r="H43" s="5"/>
      <c r="I43" s="5"/>
      <c r="J43" s="13"/>
      <c r="K43" s="6"/>
      <c r="L43" s="5"/>
      <c r="M43" s="27" t="s">
        <v>40</v>
      </c>
      <c r="N43" s="5"/>
      <c r="O43" s="5"/>
      <c r="P43" s="13"/>
      <c r="Q43" s="154">
        <v>3.0000000000000001E-3</v>
      </c>
      <c r="R43" s="156">
        <f>eta/N</f>
        <v>1.5000000000000001E-4</v>
      </c>
      <c r="S43" s="106"/>
      <c r="T43" s="110"/>
      <c r="U43" s="6"/>
      <c r="V43" s="14"/>
      <c r="W43" s="14"/>
      <c r="X43" s="5"/>
      <c r="Y43" s="5"/>
      <c r="Z43" s="5"/>
      <c r="AA43" s="13"/>
      <c r="AB43" s="14"/>
      <c r="AC43" s="14"/>
      <c r="AD43" s="14"/>
      <c r="AE43" s="14"/>
      <c r="AF43" s="14"/>
      <c r="AG43" s="14"/>
      <c r="AH43" s="19"/>
    </row>
    <row r="44" spans="3:37" ht="21.75" customHeight="1" x14ac:dyDescent="0.55000000000000004">
      <c r="C44" s="6"/>
      <c r="D44" s="85" t="s">
        <v>1</v>
      </c>
      <c r="E44" s="86" t="s">
        <v>2</v>
      </c>
      <c r="F44" s="86" t="s">
        <v>17</v>
      </c>
      <c r="G44" s="86" t="s">
        <v>18</v>
      </c>
      <c r="H44" s="5"/>
      <c r="I44" s="5"/>
      <c r="J44" s="13"/>
      <c r="K44" s="85" t="s">
        <v>1</v>
      </c>
      <c r="L44" s="86" t="s">
        <v>2</v>
      </c>
      <c r="M44" s="86" t="s">
        <v>17</v>
      </c>
      <c r="N44" s="86"/>
      <c r="O44" s="5"/>
      <c r="P44" s="13"/>
      <c r="Q44" s="165" t="s">
        <v>41</v>
      </c>
      <c r="R44" s="13"/>
      <c r="S44" s="5"/>
      <c r="T44" s="1"/>
      <c r="U44" s="85" t="s">
        <v>1</v>
      </c>
      <c r="V44" s="86" t="s">
        <v>2</v>
      </c>
      <c r="W44" s="86" t="s">
        <v>17</v>
      </c>
      <c r="X44" s="86" t="s">
        <v>18</v>
      </c>
      <c r="Y44" s="5"/>
      <c r="Z44" s="5"/>
      <c r="AA44" s="13"/>
      <c r="AB44" s="5"/>
      <c r="AC44" s="208" t="s">
        <v>61</v>
      </c>
      <c r="AD44" s="14"/>
      <c r="AE44" s="14"/>
      <c r="AF44" s="14"/>
      <c r="AG44" s="14"/>
      <c r="AH44" s="19"/>
    </row>
    <row r="45" spans="3:37" ht="18" customHeight="1" x14ac:dyDescent="0.55000000000000004">
      <c r="C45" s="6">
        <v>1</v>
      </c>
      <c r="D45" s="1">
        <v>0</v>
      </c>
      <c r="E45" s="5">
        <v>0</v>
      </c>
      <c r="F45" s="5">
        <v>0</v>
      </c>
      <c r="G45" s="5">
        <v>0</v>
      </c>
      <c r="H45" s="5"/>
      <c r="I45" s="5"/>
      <c r="J45" s="13"/>
      <c r="K45" s="1">
        <v>0</v>
      </c>
      <c r="L45" s="5">
        <v>0</v>
      </c>
      <c r="M45" s="5">
        <v>0</v>
      </c>
      <c r="N45" s="5"/>
      <c r="O45" s="5"/>
      <c r="P45" s="13"/>
      <c r="Q45" s="165"/>
      <c r="R45" s="103"/>
      <c r="S45" s="87"/>
      <c r="T45" s="111"/>
      <c r="U45" s="1">
        <v>0</v>
      </c>
      <c r="V45" s="5">
        <v>0</v>
      </c>
      <c r="W45" s="5">
        <v>0</v>
      </c>
      <c r="X45" s="5">
        <v>0</v>
      </c>
      <c r="Y45" s="5"/>
      <c r="Z45" s="5"/>
      <c r="AA45" s="13"/>
      <c r="AB45" s="5"/>
      <c r="AC45" s="5"/>
      <c r="AD45" s="14"/>
      <c r="AE45" s="14"/>
      <c r="AF45" s="14"/>
      <c r="AG45" s="14"/>
      <c r="AH45" s="19"/>
    </row>
    <row r="46" spans="3:37" ht="11.25" customHeight="1" x14ac:dyDescent="0.2">
      <c r="C46" s="6">
        <v>2</v>
      </c>
      <c r="D46" s="75">
        <f t="array" aca="1" ref="D46:G46" ca="1">TRANSPOSE(TRANSPOSE(D45:G45)+etaN*MMULT(TRANSPOSE(X_),t-MMULT(X_,TRANSPOSE(D45:G45))))</f>
        <v>1.7502660347695782E-2</v>
      </c>
      <c r="E46" s="76">
        <f ca="1"/>
        <v>0.10650531679617688</v>
      </c>
      <c r="F46" s="76">
        <f ca="1"/>
        <v>2.0542548220102187E-2</v>
      </c>
      <c r="G46" s="76">
        <f ca="1"/>
        <v>4.7188265830362369E-2</v>
      </c>
      <c r="H46" s="76"/>
      <c r="I46" s="76"/>
      <c r="J46" s="77"/>
      <c r="K46" s="75">
        <f t="array" aca="1" ref="K46:M46" ca="1">TRANSPOSE(TRANSPOSE(K45:M45)+etaN*MMULT(TRANSPOSE(X),t-MMULT(X,TRANSPOSE(K45:M45))))</f>
        <v>1.7502660347695782E-2</v>
      </c>
      <c r="L46" s="76">
        <f ca="1"/>
        <v>0.10650531679617688</v>
      </c>
      <c r="M46" s="76">
        <f ca="1"/>
        <v>2.0542548220102187E-2</v>
      </c>
      <c r="N46" s="76"/>
      <c r="O46" s="76"/>
      <c r="P46" s="77"/>
      <c r="Q46" s="165"/>
      <c r="R46" s="77"/>
      <c r="S46" s="76"/>
      <c r="T46" s="75"/>
      <c r="U46" s="75">
        <f t="array" aca="1" ref="U46:X46" ca="1">TRANSPOSE(TRANSPOSE(U45:X45)+etaN*MMULT(TRANSPOSE(F__1),H11:H15-MMULT(F__1,TRANSPOSE(U45:X45))))</f>
        <v>5.1889870472167981E-3</v>
      </c>
      <c r="V46" s="76">
        <f ca="1"/>
        <v>3.4635562449529166E-2</v>
      </c>
      <c r="W46" s="76">
        <f ca="1"/>
        <v>5.1111409836191741E-3</v>
      </c>
      <c r="X46" s="76">
        <f ca="1"/>
        <v>3.3551180683415609E-2</v>
      </c>
      <c r="Y46" s="5"/>
      <c r="Z46" s="5"/>
      <c r="AA46" s="13"/>
      <c r="AB46" s="14"/>
      <c r="AC46" s="14"/>
      <c r="AD46" s="14"/>
      <c r="AE46" s="14"/>
      <c r="AF46" s="14"/>
      <c r="AG46" s="14"/>
      <c r="AH46" s="19"/>
    </row>
    <row r="47" spans="3:37" ht="15" customHeight="1" x14ac:dyDescent="0.2">
      <c r="C47" s="6">
        <v>3</v>
      </c>
      <c r="D47" s="75">
        <f t="array" aca="1" ref="D47:G47" ca="1">TRANSPOSE(TRANSPOSE(D46:G46)+etaN*MMULT(TRANSPOSE(X_),t-MMULT(X_,TRANSPOSE(D46:G46))))</f>
        <v>3.2909586291706455E-2</v>
      </c>
      <c r="E47" s="76">
        <f ca="1"/>
        <v>0.20052004679570551</v>
      </c>
      <c r="F47" s="76">
        <f ca="1"/>
        <v>3.9093575412964737E-2</v>
      </c>
      <c r="G47" s="76">
        <f ca="1"/>
        <v>8.8712349219038089E-2</v>
      </c>
      <c r="H47" s="76"/>
      <c r="I47" s="76"/>
      <c r="J47" s="77"/>
      <c r="K47" s="75">
        <f t="array" aca="1" ref="K47:M47" ca="1">TRANSPOSE(TRANSPOSE(K46:M46)+etaN*MMULT(TRANSPOSE(X),t-MMULT(X,TRANSPOSE(K46:M46))))</f>
        <v>3.3278928322892226E-2</v>
      </c>
      <c r="L47" s="76">
        <f ca="1"/>
        <v>0.20240200594197355</v>
      </c>
      <c r="M47" s="76">
        <f ca="1"/>
        <v>3.9442665376168695E-2</v>
      </c>
      <c r="N47" s="76"/>
      <c r="O47" s="76"/>
      <c r="P47" s="77"/>
      <c r="Q47" s="165"/>
      <c r="R47" s="77"/>
      <c r="S47" s="76"/>
      <c r="T47" s="75"/>
      <c r="U47" s="75">
        <f t="array" aca="1" ref="U47:X47" ca="1">TRANSPOSE(TRANSPOSE(U46:X46)+etaN*MMULT(TRANSPOSE(F),t-MMULT(F,TRANSPOSE(U46:X46))))</f>
        <v>2.1657246408950184E-2</v>
      </c>
      <c r="V47" s="76">
        <f ca="1"/>
        <v>0.13470507102886367</v>
      </c>
      <c r="W47" s="76">
        <f ca="1"/>
        <v>2.4521555669758326E-2</v>
      </c>
      <c r="X47" s="76">
        <f ca="1"/>
        <v>0.15124886545136096</v>
      </c>
      <c r="Y47" s="5"/>
      <c r="Z47" s="5"/>
      <c r="AA47" s="13"/>
      <c r="AB47" s="14"/>
      <c r="AC47" s="14"/>
      <c r="AD47" s="14"/>
      <c r="AE47" s="14"/>
      <c r="AF47" s="14"/>
      <c r="AG47" s="14"/>
      <c r="AH47" s="19"/>
      <c r="AJ47" s="20"/>
      <c r="AK47" s="20"/>
    </row>
    <row r="48" spans="3:37" ht="15" customHeight="1" x14ac:dyDescent="0.2">
      <c r="C48" s="6">
        <v>4</v>
      </c>
      <c r="D48" s="75">
        <f t="array" aca="1" ref="D48:G48" ca="1">TRANSPOSE(TRANSPOSE(D47:G47)+etaN*MMULT(TRANSPOSE(X_),t-MMULT(X_,TRANSPOSE(D47:G47))))</f>
        <v>4.6466544788949883E-2</v>
      </c>
      <c r="E48" s="76">
        <f ca="1"/>
        <v>0.28350892616668144</v>
      </c>
      <c r="F48" s="76">
        <f ca="1"/>
        <v>5.5886224480167446E-2</v>
      </c>
      <c r="G48" s="76">
        <f ca="1"/>
        <v>0.12523688288610751</v>
      </c>
      <c r="H48" s="76"/>
      <c r="I48" s="76"/>
      <c r="J48" s="77"/>
      <c r="K48" s="75">
        <f t="array" aca="1" ref="K48:M48" ca="1">TRANSPOSE(TRANSPOSE(K47:M47)+etaN*MMULT(TRANSPOSE(X),t-MMULT(X,TRANSPOSE(K47:M47))))</f>
        <v>4.7499590313234002E-2</v>
      </c>
      <c r="L48" s="76">
        <f ca="1"/>
        <v>0.28874073613004536</v>
      </c>
      <c r="M48" s="76">
        <f ca="1"/>
        <v>5.6862452728405302E-2</v>
      </c>
      <c r="N48" s="76"/>
      <c r="O48" s="76"/>
      <c r="P48" s="77"/>
      <c r="Q48" s="165"/>
      <c r="R48" s="77"/>
      <c r="S48" s="76"/>
      <c r="T48" s="75"/>
      <c r="U48" s="75">
        <f t="array" aca="1" ref="U48:X48" ca="1">TRANSPOSE(TRANSPOSE(U47:X47)+etaN*MMULT(TRANSPOSE(F),t-MMULT(F,TRANSPOSE(U47:X47))))</f>
        <v>3.4823253447985286E-2</v>
      </c>
      <c r="V48" s="76">
        <f ca="1"/>
        <v>0.21422526284733684</v>
      </c>
      <c r="W48" s="76">
        <f ca="1"/>
        <v>4.0265838442451699E-2</v>
      </c>
      <c r="X48" s="76">
        <f ca="1"/>
        <v>0.24624020608064129</v>
      </c>
      <c r="Y48" s="5"/>
      <c r="Z48" s="5"/>
      <c r="AA48" s="13"/>
      <c r="AB48" s="14"/>
      <c r="AC48" s="14"/>
      <c r="AD48" s="14"/>
      <c r="AE48" s="14"/>
      <c r="AF48" s="14"/>
      <c r="AG48" s="14"/>
      <c r="AH48" s="19"/>
      <c r="AJ48" s="20"/>
      <c r="AK48" s="20"/>
    </row>
    <row r="49" spans="3:37" ht="15" customHeight="1" thickBot="1" x14ac:dyDescent="0.25">
      <c r="C49" s="6">
        <v>5</v>
      </c>
      <c r="D49" s="75">
        <f t="array" aca="1" ref="D49:G49" ca="1">TRANSPOSE(TRANSPOSE(D48:G48)+etaN*MMULT(TRANSPOSE(X_),t-MMULT(X_,TRANSPOSE(D48:G48))))</f>
        <v>5.83904802709901E-2</v>
      </c>
      <c r="E49" s="76">
        <f ca="1"/>
        <v>0.35676491479454625</v>
      </c>
      <c r="F49" s="76">
        <f ca="1"/>
        <v>7.1126296683307014E-2</v>
      </c>
      <c r="G49" s="76">
        <f ca="1"/>
        <v>0.1573485530285795</v>
      </c>
      <c r="H49" s="76"/>
      <c r="I49" s="76"/>
      <c r="J49" s="77"/>
      <c r="K49" s="75">
        <f t="array" aca="1" ref="K49:M49" ca="1">TRANSPOSE(TRANSPOSE(K48:M48)+etaN*MMULT(TRANSPOSE(X),t-MMULT(X,TRANSPOSE(K48:M48))))</f>
        <v>6.0318520329039088E-2</v>
      </c>
      <c r="L49" s="76">
        <f ca="1"/>
        <v>0.36646812978280674</v>
      </c>
      <c r="M49" s="76">
        <f ca="1"/>
        <v>7.2947959738889873E-2</v>
      </c>
      <c r="N49" s="76"/>
      <c r="O49" s="76"/>
      <c r="P49" s="77"/>
      <c r="Q49" s="166"/>
      <c r="R49" s="77"/>
      <c r="S49" s="76"/>
      <c r="T49" s="75"/>
      <c r="U49" s="75">
        <f t="array" aca="1" ref="U49:X49" ca="1">TRANSPOSE(TRANSPOSE(U48:X48)+etaN*MMULT(TRANSPOSE(F),t-MMULT(F,TRANSPOSE(U48:X48))))</f>
        <v>4.5343120107316628E-2</v>
      </c>
      <c r="V49" s="76">
        <f ca="1"/>
        <v>0.2772786754280871</v>
      </c>
      <c r="W49" s="76">
        <f ca="1"/>
        <v>5.306908113014943E-2</v>
      </c>
      <c r="X49" s="76">
        <f ca="1"/>
        <v>0.32301790775669281</v>
      </c>
      <c r="Y49" s="5"/>
      <c r="Z49" s="5"/>
      <c r="AA49" s="13"/>
      <c r="AB49" s="14"/>
      <c r="AC49" s="14"/>
      <c r="AD49" s="14"/>
      <c r="AE49" s="14"/>
      <c r="AF49" s="14"/>
      <c r="AG49" s="14"/>
      <c r="AH49" s="19"/>
      <c r="AJ49" s="20"/>
      <c r="AK49" s="20"/>
    </row>
    <row r="50" spans="3:37" ht="15" customHeight="1" x14ac:dyDescent="0.2">
      <c r="C50" s="6">
        <v>6</v>
      </c>
      <c r="D50" s="75">
        <f t="array" aca="1" ref="D50:G50" ca="1">TRANSPOSE(TRANSPOSE(D49:G49)+etaN*MMULT(TRANSPOSE(X_),t-MMULT(X_,TRANSPOSE(D49:G49))))</f>
        <v>6.8872894809355406E-2</v>
      </c>
      <c r="E50" s="76">
        <f ca="1"/>
        <v>0.42142934135314764</v>
      </c>
      <c r="F50" s="76">
        <f ca="1"/>
        <v>8.499545813813475E-2</v>
      </c>
      <c r="G50" s="76">
        <f ca="1"/>
        <v>0.18556524051419748</v>
      </c>
      <c r="H50" s="76"/>
      <c r="I50" s="76"/>
      <c r="J50" s="77"/>
      <c r="K50" s="75">
        <f t="array" aca="1" ref="K50:M50" ca="1">TRANSPOSE(TRANSPOSE(K49:M49)+etaN*MMULT(TRANSPOSE(X),t-MMULT(X,TRANSPOSE(K49:M49))))</f>
        <v>7.1874354809182403E-2</v>
      </c>
      <c r="L50" s="76">
        <f ca="1"/>
        <v>0.43643706659307635</v>
      </c>
      <c r="M50" s="76">
        <f ca="1"/>
        <v>8.7830773654866898E-2</v>
      </c>
      <c r="N50" s="76"/>
      <c r="O50" s="76"/>
      <c r="P50" s="77"/>
      <c r="Q50" s="76"/>
      <c r="R50" s="77"/>
      <c r="S50" s="76"/>
      <c r="T50" s="75"/>
      <c r="U50" s="75">
        <f t="array" aca="1" ref="U50:X50" ca="1">TRANSPOSE(TRANSPOSE(U49:X49)+etaN*MMULT(TRANSPOSE(F),t-MMULT(F,TRANSPOSE(U49:X49))))</f>
        <v>5.3742879496405944E-2</v>
      </c>
      <c r="V50" s="76">
        <f ca="1"/>
        <v>0.32713846456638068</v>
      </c>
      <c r="W50" s="76">
        <f ca="1"/>
        <v>6.351266421059143E-2</v>
      </c>
      <c r="X50" s="76">
        <f ca="1"/>
        <v>0.38518421553525417</v>
      </c>
      <c r="Y50" s="5"/>
      <c r="Z50" s="5"/>
      <c r="AA50" s="13"/>
      <c r="AB50" s="14"/>
      <c r="AC50" s="74"/>
      <c r="AD50" s="14"/>
      <c r="AE50" s="14"/>
      <c r="AF50" s="14"/>
      <c r="AG50" s="14"/>
      <c r="AH50" s="19"/>
      <c r="AJ50" s="20"/>
      <c r="AK50" s="20"/>
    </row>
    <row r="51" spans="3:37" ht="15" customHeight="1" x14ac:dyDescent="0.2">
      <c r="C51" s="6">
        <v>7</v>
      </c>
      <c r="D51" s="75">
        <f t="array" aca="1" ref="D51:G51" ca="1">TRANSPOSE(TRANSPOSE(D50:G50)+etaN*MMULT(TRANSPOSE(X_),t-MMULT(X_,TRANSPOSE(D50:G50))))</f>
        <v>7.8082831871714678E-2</v>
      </c>
      <c r="E51" s="76">
        <f ca="1"/>
        <v>0.47850968586116882</v>
      </c>
      <c r="F51" s="76">
        <f ca="1"/>
        <v>9.7654070266851717E-2</v>
      </c>
      <c r="G51" s="76">
        <f ca="1"/>
        <v>0.21034409004102336</v>
      </c>
      <c r="H51" s="76"/>
      <c r="I51" s="76"/>
      <c r="J51" s="77"/>
      <c r="K51" s="75">
        <f t="array" aca="1" ref="K51:M51" ca="1">TRANSPOSE(TRANSPOSE(K50:M50)+etaN*MMULT(TRANSPOSE(X),t-MMULT(X,TRANSPOSE(K50:M50))))</f>
        <v>8.2292001573557955E-2</v>
      </c>
      <c r="L51" s="76">
        <f ca="1"/>
        <v>0.49941596672111249</v>
      </c>
      <c r="M51" s="76">
        <f ca="1"/>
        <v>0.10162945167808222</v>
      </c>
      <c r="N51" s="76"/>
      <c r="O51" s="76"/>
      <c r="P51" s="77"/>
      <c r="Q51" s="76"/>
      <c r="R51" s="77"/>
      <c r="S51" s="76"/>
      <c r="T51" s="75"/>
      <c r="U51" s="75">
        <f t="array" aca="1" ref="U51:X51" ca="1">TRANSPOSE(TRANSPOSE(U50:X50)+etaN*MMULT(TRANSPOSE(F),t-MMULT(F,TRANSPOSE(U50:X50))))</f>
        <v>6.0444271090265782E-2</v>
      </c>
      <c r="V51" s="76">
        <f ca="1"/>
        <v>0.36642884588837754</v>
      </c>
      <c r="W51" s="76">
        <f ca="1"/>
        <v>7.2062743785240191E-2</v>
      </c>
      <c r="X51" s="76">
        <f ca="1"/>
        <v>0.43562742473268512</v>
      </c>
      <c r="Y51" s="5"/>
      <c r="Z51" s="5"/>
      <c r="AA51" s="13"/>
      <c r="AB51" s="14"/>
      <c r="AC51" s="14"/>
      <c r="AD51" s="14"/>
      <c r="AE51" s="14"/>
      <c r="AF51" s="14"/>
      <c r="AG51" s="14"/>
      <c r="AH51" s="19"/>
      <c r="AJ51" s="20"/>
      <c r="AK51" s="20"/>
    </row>
    <row r="52" spans="3:37" ht="15" customHeight="1" x14ac:dyDescent="0.2">
      <c r="C52" s="6">
        <v>8</v>
      </c>
      <c r="D52" s="75">
        <f t="array" aca="1" ref="D52:G52" ca="1">TRANSPOSE(TRANSPOSE(D51:G51)+etaN*MMULT(TRANSPOSE(X_),t-MMULT(X_,TRANSPOSE(D51:G51))))</f>
        <v>8.6169510157822732E-2</v>
      </c>
      <c r="E52" s="76">
        <f ca="1"/>
        <v>0.52889527678800052</v>
      </c>
      <c r="F52" s="76">
        <f ca="1"/>
        <v>0.10924368830889568</v>
      </c>
      <c r="G52" s="76">
        <f ca="1"/>
        <v>0.23208863298569038</v>
      </c>
      <c r="H52" s="76"/>
      <c r="I52" s="76"/>
      <c r="J52" s="77"/>
      <c r="K52" s="75">
        <f t="array" aca="1" ref="K52:M52" ca="1">TRANSPOSE(TRANSPOSE(K51:M51)+etaN*MMULT(TRANSPOSE(X),t-MMULT(X,TRANSPOSE(K51:M51))))</f>
        <v>9.1683999346325873E-2</v>
      </c>
      <c r="L52" s="76">
        <f ca="1"/>
        <v>0.55609715469108134</v>
      </c>
      <c r="M52" s="76">
        <f ca="1"/>
        <v>0.11445081130861758</v>
      </c>
      <c r="N52" s="76"/>
      <c r="O52" s="76"/>
      <c r="P52" s="77"/>
      <c r="Q52" s="76"/>
      <c r="R52" s="77"/>
      <c r="S52" s="76"/>
      <c r="T52" s="75"/>
      <c r="U52" s="75">
        <f t="array" aca="1" ref="U52:X52" ca="1">TRANSPOSE(TRANSPOSE(U51:X51)+etaN*MMULT(TRANSPOSE(F),t-MMULT(F,TRANSPOSE(U51:X51))))</f>
        <v>6.5785414643999326E-2</v>
      </c>
      <c r="V52" s="76">
        <f ca="1"/>
        <v>0.39725373280001874</v>
      </c>
      <c r="W52" s="76">
        <f ca="1"/>
        <v>7.9093091715704084E-2</v>
      </c>
      <c r="X52" s="76">
        <f ca="1"/>
        <v>0.47666340249480987</v>
      </c>
      <c r="Y52" s="5"/>
      <c r="Z52" s="5"/>
      <c r="AA52" s="13"/>
      <c r="AB52" s="14"/>
      <c r="AC52" s="14"/>
      <c r="AD52" s="14"/>
      <c r="AE52" s="14"/>
      <c r="AF52" s="14"/>
      <c r="AG52" s="14"/>
      <c r="AH52" s="19"/>
      <c r="AJ52" s="20"/>
      <c r="AK52" s="20"/>
    </row>
    <row r="53" spans="3:37" ht="15" customHeight="1" x14ac:dyDescent="0.2">
      <c r="C53" s="6">
        <v>9</v>
      </c>
      <c r="D53" s="75">
        <f t="array" aca="1" ref="D53:G53" ca="1">TRANSPOSE(TRANSPOSE(D52:G52)+etaN*MMULT(TRANSPOSE(X_),t-MMULT(X_,TRANSPOSE(D52:G52))))</f>
        <v>9.3264648552155049E-2</v>
      </c>
      <c r="E53" s="76">
        <f ca="1"/>
        <v>0.57337114728041993</v>
      </c>
      <c r="F53" s="76">
        <f ca="1"/>
        <v>0.11988926681868406</v>
      </c>
      <c r="G53" s="76">
        <f ca="1"/>
        <v>0.25115507491905464</v>
      </c>
      <c r="H53" s="76"/>
      <c r="I53" s="76"/>
      <c r="J53" s="77"/>
      <c r="K53" s="75">
        <f t="array" aca="1" ref="K53:M53" ca="1">TRANSPOSE(TRANSPOSE(K52:M52)+etaN*MMULT(TRANSPOSE(X),t-MMULT(X,TRANSPOSE(K52:M52))))</f>
        <v>0.10015174264768716</v>
      </c>
      <c r="L53" s="76">
        <f ca="1"/>
        <v>0.60710439502386271</v>
      </c>
      <c r="M53" s="76">
        <f ca="1"/>
        <v>0.12639109290798364</v>
      </c>
      <c r="N53" s="76"/>
      <c r="O53" s="76"/>
      <c r="P53" s="77"/>
      <c r="Q53" s="76"/>
      <c r="R53" s="77"/>
      <c r="S53" s="76"/>
      <c r="T53" s="75"/>
      <c r="U53" s="75">
        <f t="array" aca="1" ref="U53:X53" ca="1">TRANSPOSE(TRANSPOSE(U52:X52)+etaN*MMULT(TRANSPOSE(F),t-MMULT(F,TRANSPOSE(U52:X52))))</f>
        <v>7.0037386009183966E-2</v>
      </c>
      <c r="V53" s="76">
        <f ca="1"/>
        <v>0.42129987510907874</v>
      </c>
      <c r="W53" s="76">
        <f ca="1"/>
        <v>8.4903408268738725E-2</v>
      </c>
      <c r="X53" s="76">
        <f ca="1"/>
        <v>0.51014905621661477</v>
      </c>
      <c r="Y53" s="5"/>
      <c r="Z53" s="5"/>
      <c r="AA53" s="13"/>
      <c r="AB53" s="14"/>
      <c r="AC53" s="14"/>
      <c r="AD53" s="14"/>
      <c r="AE53" s="14"/>
      <c r="AF53" s="14"/>
      <c r="AG53" s="14"/>
      <c r="AH53" s="19"/>
    </row>
    <row r="54" spans="3:37" ht="15" customHeight="1" x14ac:dyDescent="0.2">
      <c r="C54" s="6">
        <v>10</v>
      </c>
      <c r="D54" s="75">
        <f t="array" aca="1" ref="D54:G54" ca="1">TRANSPOSE(TRANSPOSE(D53:G53)+etaN*MMULT(TRANSPOSE(X_),t-MMULT(X_,TRANSPOSE(D53:G53))))</f>
        <v>9.9484518417544548E-2</v>
      </c>
      <c r="E54" s="76">
        <f ca="1"/>
        <v>0.61263026639931661</v>
      </c>
      <c r="F54" s="76">
        <f ca="1"/>
        <v>0.12970110651343913</v>
      </c>
      <c r="G54" s="76">
        <f ca="1"/>
        <v>0.26785784575293697</v>
      </c>
      <c r="H54" s="76"/>
      <c r="I54" s="76"/>
      <c r="J54" s="77"/>
      <c r="K54" s="75">
        <f t="array" aca="1" ref="K54:M54" ca="1">TRANSPOSE(TRANSPOSE(K53:M53)+etaN*MMULT(TRANSPOSE(X),t-MMULT(X,TRANSPOSE(K53:M53))))</f>
        <v>0.10778658538653152</v>
      </c>
      <c r="L54" s="76">
        <f ca="1"/>
        <v>0.65299968162785638</v>
      </c>
      <c r="M54" s="76">
        <f ca="1"/>
        <v>0.13753700713539993</v>
      </c>
      <c r="N54" s="76"/>
      <c r="O54" s="76"/>
      <c r="P54" s="77"/>
      <c r="Q54" s="76"/>
      <c r="R54" s="77"/>
      <c r="S54" s="76"/>
      <c r="T54" s="75"/>
      <c r="U54" s="75">
        <f t="array" aca="1" ref="U54:X54" ca="1">TRANSPOSE(TRANSPOSE(U53:X53)+etaN*MMULT(TRANSPOSE(F),t-MMULT(F,TRANSPOSE(U53:X53))))</f>
        <v>7.341750719922481E-2</v>
      </c>
      <c r="V54" s="76">
        <f ca="1"/>
        <v>0.43991955293449569</v>
      </c>
      <c r="W54" s="76">
        <f ca="1"/>
        <v>8.9734004733507525E-2</v>
      </c>
      <c r="X54" s="76">
        <f ca="1"/>
        <v>0.53757330965882277</v>
      </c>
      <c r="Y54" s="5"/>
      <c r="Z54" s="5"/>
      <c r="AA54" s="13"/>
      <c r="AB54" s="14"/>
      <c r="AC54" s="14"/>
      <c r="AD54" s="14"/>
      <c r="AE54" s="14"/>
      <c r="AF54" s="14"/>
      <c r="AG54" s="14"/>
      <c r="AH54" s="19"/>
    </row>
    <row r="55" spans="3:37" ht="15" customHeight="1" x14ac:dyDescent="0.2">
      <c r="C55" s="6">
        <v>11</v>
      </c>
      <c r="D55" s="75">
        <f t="array" aca="1" ref="D55:G55" ca="1">TRANSPOSE(TRANSPOSE(D54:G54)+etaN*MMULT(TRANSPOSE(X_),t-MMULT(X_,TRANSPOSE(D54:G54))))</f>
        <v>0.10493175520592404</v>
      </c>
      <c r="E55" s="76">
        <f ca="1"/>
        <v>0.64728433593727897</v>
      </c>
      <c r="F55" s="76">
        <f ca="1"/>
        <v>0.13877657280428299</v>
      </c>
      <c r="G55" s="76">
        <f ca="1"/>
        <v>0.28247449899294746</v>
      </c>
      <c r="H55" s="76"/>
      <c r="I55" s="76"/>
      <c r="J55" s="77"/>
      <c r="K55" s="75">
        <f t="array" aca="1" ref="K55:M55" ca="1">TRANSPOSE(TRANSPOSE(K54:M54)+etaN*MMULT(TRANSPOSE(X),t-MMULT(X,TRANSPOSE(K54:M54))))</f>
        <v>0.11467083516602226</v>
      </c>
      <c r="L55" s="76">
        <f ca="1"/>
        <v>0.69428935484697396</v>
      </c>
      <c r="M55" s="76">
        <f ca="1"/>
        <v>0.14796667865809054</v>
      </c>
      <c r="N55" s="76"/>
      <c r="O55" s="76"/>
      <c r="P55" s="77"/>
      <c r="Q55" s="76"/>
      <c r="R55" s="77"/>
      <c r="S55" s="76"/>
      <c r="T55" s="75"/>
      <c r="U55" s="75">
        <f t="array" aca="1" ref="U55:X55" ca="1">TRANSPOSE(TRANSPOSE(U54:X54)+etaN*MMULT(TRANSPOSE(F),t-MMULT(F,TRANSPOSE(U54:X54))))</f>
        <v>7.6100002022982657E-2</v>
      </c>
      <c r="V55" s="76">
        <f ca="1"/>
        <v>0.45419687856426599</v>
      </c>
      <c r="W55" s="76">
        <f ca="1"/>
        <v>9.3777575574700303E-2</v>
      </c>
      <c r="X55" s="76">
        <f ca="1"/>
        <v>0.56013004530653276</v>
      </c>
      <c r="Y55" s="5"/>
      <c r="Z55" s="5"/>
      <c r="AA55" s="13"/>
      <c r="AB55" s="14"/>
      <c r="AC55" s="14"/>
      <c r="AD55" s="14"/>
      <c r="AE55" s="14"/>
      <c r="AF55" s="14"/>
      <c r="AG55" s="14"/>
      <c r="AH55" s="19"/>
    </row>
    <row r="56" spans="3:37" ht="15" customHeight="1" x14ac:dyDescent="0.2">
      <c r="C56" s="6">
        <v>12</v>
      </c>
      <c r="D56" s="75">
        <f t="array" aca="1" ref="D56:G56" ca="1">TRANSPOSE(TRANSPOSE(D55:G55)+etaN*MMULT(TRANSPOSE(X_),t-MMULT(X_,TRANSPOSE(D55:G55))))</f>
        <v>0.1096969576122782</v>
      </c>
      <c r="E56" s="76">
        <f ca="1"/>
        <v>0.6778733210386495</v>
      </c>
      <c r="F56" s="76">
        <f ca="1"/>
        <v>0.14720161278646346</v>
      </c>
      <c r="G56" s="76">
        <f ca="1"/>
        <v>0.29525003643102421</v>
      </c>
      <c r="H56" s="76"/>
      <c r="I56" s="76"/>
      <c r="J56" s="77"/>
      <c r="K56" s="75">
        <f t="array" aca="1" ref="K56:M56" ca="1">TRANSPOSE(TRANSPOSE(K55:M55)+etaN*MMULT(TRANSPOSE(X),t-MMULT(X,TRANSPOSE(K55:M55))))</f>
        <v>0.12087864912464595</v>
      </c>
      <c r="L56" s="76">
        <f ca="1"/>
        <v>0.73142961274687879</v>
      </c>
      <c r="M56" s="76">
        <f ca="1"/>
        <v>0.15775049640741892</v>
      </c>
      <c r="N56" s="76"/>
      <c r="O56" s="76"/>
      <c r="P56" s="77"/>
      <c r="Q56" s="76"/>
      <c r="R56" s="77"/>
      <c r="S56" s="76"/>
      <c r="T56" s="75"/>
      <c r="U56" s="75">
        <f t="array" aca="1" ref="U56:X56" ca="1">TRANSPOSE(TRANSPOSE(U55:X55)+etaN*MMULT(TRANSPOSE(F),t-MMULT(F,TRANSPOSE(U55:X55))))</f>
        <v>7.8224539497961376E-2</v>
      </c>
      <c r="V56" s="76">
        <f ca="1"/>
        <v>0.46500095558284732</v>
      </c>
      <c r="W56" s="76">
        <f ca="1"/>
        <v>9.7188637049338888E-2</v>
      </c>
      <c r="X56" s="76">
        <f ca="1"/>
        <v>0.57877658771828278</v>
      </c>
      <c r="Y56" s="5"/>
      <c r="Z56" s="5"/>
      <c r="AA56" s="13"/>
      <c r="AB56" s="14"/>
      <c r="AC56" s="14"/>
      <c r="AD56" s="14"/>
      <c r="AE56" s="14"/>
      <c r="AF56" s="14"/>
      <c r="AG56" s="14"/>
      <c r="AH56" s="19"/>
    </row>
    <row r="57" spans="3:37" ht="15" customHeight="1" x14ac:dyDescent="0.2">
      <c r="C57" s="6">
        <v>13</v>
      </c>
      <c r="D57" s="75">
        <f t="array" aca="1" ref="D57:G57" ca="1">TRANSPOSE(TRANSPOSE(D56:G56)+etaN*MMULT(TRANSPOSE(X_),t-MMULT(X_,TRANSPOSE(D56:G56))))</f>
        <v>0.11386009918769061</v>
      </c>
      <c r="E57" s="76">
        <f ca="1"/>
        <v>0.70487386311545452</v>
      </c>
      <c r="F57" s="76">
        <f ca="1"/>
        <v>0.15505209432443118</v>
      </c>
      <c r="G57" s="76">
        <f ca="1"/>
        <v>0.30640072565928528</v>
      </c>
      <c r="H57" s="76"/>
      <c r="I57" s="76"/>
      <c r="J57" s="77"/>
      <c r="K57" s="75">
        <f t="array" aca="1" ref="K57:M57" ca="1">TRANSPOSE(TRANSPOSE(K56:M56)+etaN*MMULT(TRANSPOSE(X),t-MMULT(X,TRANSPOSE(K56:M56))))</f>
        <v>0.12647684106351692</v>
      </c>
      <c r="L57" s="76">
        <f ca="1"/>
        <v>0.76483147662711959</v>
      </c>
      <c r="M57" s="76">
        <f ca="1"/>
        <v>0.16695187963548164</v>
      </c>
      <c r="N57" s="76"/>
      <c r="O57" s="76"/>
      <c r="P57" s="77"/>
      <c r="Q57" s="76"/>
      <c r="R57" s="77"/>
      <c r="S57" s="76"/>
      <c r="T57" s="75"/>
      <c r="U57" s="75">
        <f t="array" aca="1" ref="U57:X57" ca="1">TRANSPOSE(TRANSPOSE(U56:X56)+etaN*MMULT(TRANSPOSE(F),t-MMULT(F,TRANSPOSE(U56:X56))))</f>
        <v>7.9903083738806474E-2</v>
      </c>
      <c r="V57" s="76">
        <f ca="1"/>
        <v>0.47302850049111855</v>
      </c>
      <c r="W57" s="76">
        <f ca="1"/>
        <v>0.10009109485335857</v>
      </c>
      <c r="X57" s="76">
        <f ca="1"/>
        <v>0.59428059400803379</v>
      </c>
      <c r="Y57" s="5"/>
      <c r="Z57" s="5"/>
      <c r="AA57" s="13"/>
      <c r="AB57" s="14"/>
      <c r="AC57" s="14"/>
      <c r="AD57" s="14"/>
      <c r="AE57" s="14"/>
      <c r="AF57" s="14"/>
      <c r="AG57" s="14"/>
      <c r="AH57" s="19"/>
    </row>
    <row r="58" spans="3:37" ht="15" customHeight="1" x14ac:dyDescent="0.2">
      <c r="C58" s="6">
        <v>14</v>
      </c>
      <c r="D58" s="75">
        <f t="array" aca="1" ref="D58:G58" ca="1">TRANSPOSE(TRANSPOSE(D57:G57)+etaN*MMULT(TRANSPOSE(X_),t-MMULT(X_,TRANSPOSE(D57:G57))))</f>
        <v>0.11749177440535907</v>
      </c>
      <c r="E58" s="76">
        <f ca="1"/>
        <v>0.72870670613804145</v>
      </c>
      <c r="F58" s="76">
        <f ca="1"/>
        <v>0.16239498809560671</v>
      </c>
      <c r="G58" s="76">
        <f ca="1"/>
        <v>0.3161174698846117</v>
      </c>
      <c r="H58" s="76"/>
      <c r="I58" s="76"/>
      <c r="J58" s="77"/>
      <c r="K58" s="75">
        <f t="array" aca="1" ref="K58:M58" ca="1">TRANSPOSE(TRANSPOSE(K57:M57)+etaN*MMULT(TRANSPOSE(X),t-MMULT(X,TRANSPOSE(K57:M57))))</f>
        <v>0.13152560864512064</v>
      </c>
      <c r="L58" s="76">
        <f ca="1"/>
        <v>0.79486526480631814</v>
      </c>
      <c r="M58" s="76">
        <f ca="1"/>
        <v>0.17562796811031112</v>
      </c>
      <c r="N58" s="76"/>
      <c r="O58" s="76"/>
      <c r="P58" s="77"/>
      <c r="Q58" s="76"/>
      <c r="R58" s="77"/>
      <c r="S58" s="76"/>
      <c r="T58" s="75"/>
      <c r="U58" s="75">
        <f t="array" aca="1" ref="U58:X58" ca="1">TRANSPOSE(TRANSPOSE(U57:X57)+etaN*MMULT(TRANSPOSE(F),t-MMULT(F,TRANSPOSE(U57:X57))))</f>
        <v>8.1225386020739879E-2</v>
      </c>
      <c r="V58" s="76">
        <f ca="1"/>
        <v>0.47883801562060352</v>
      </c>
      <c r="W58" s="76">
        <f ca="1"/>
        <v>0.10258431167171464</v>
      </c>
      <c r="X58" s="76">
        <f ca="1"/>
        <v>0.60725764946037641</v>
      </c>
      <c r="Y58" s="5"/>
      <c r="Z58" s="5"/>
      <c r="AA58" s="13"/>
      <c r="AB58" s="14"/>
      <c r="AC58" s="14"/>
      <c r="AD58" s="14"/>
      <c r="AE58" s="14"/>
      <c r="AF58" s="14"/>
      <c r="AG58" s="14"/>
      <c r="AH58" s="19"/>
    </row>
    <row r="59" spans="3:37" ht="15" customHeight="1" x14ac:dyDescent="0.2">
      <c r="C59" s="6">
        <v>15</v>
      </c>
      <c r="D59" s="75">
        <f t="array" aca="1" ref="D59:G59" ca="1">TRANSPOSE(TRANSPOSE(D58:G58)+etaN*MMULT(TRANSPOSE(X_),t-MMULT(X_,TRANSPOSE(D58:G58))))</f>
        <v>0.12065429859411934</v>
      </c>
      <c r="E59" s="76">
        <f ca="1"/>
        <v>0.74974325200697456</v>
      </c>
      <c r="F59" s="76">
        <f ca="1"/>
        <v>0.169289411009869</v>
      </c>
      <c r="G59" s="76">
        <f ca="1"/>
        <v>0.32456878254792565</v>
      </c>
      <c r="H59" s="76"/>
      <c r="I59" s="76"/>
      <c r="J59" s="77"/>
      <c r="K59" s="75">
        <f t="array" aca="1" ref="K59:M59" ca="1">TRANSPOSE(TRANSPOSE(K58:M58)+etaN*MMULT(TRANSPOSE(X),t-MMULT(X,TRANSPOSE(K58:M58))))</f>
        <v>0.13607918857869716</v>
      </c>
      <c r="L59" s="76">
        <f ca="1"/>
        <v>0.82186462337536548</v>
      </c>
      <c r="M59" s="76">
        <f ca="1"/>
        <v>0.18383024396212247</v>
      </c>
      <c r="N59" s="76"/>
      <c r="O59" s="76"/>
      <c r="P59" s="77"/>
      <c r="Q59" s="76"/>
      <c r="R59" s="77"/>
      <c r="S59" s="76"/>
      <c r="T59" s="75"/>
      <c r="U59" s="75">
        <f t="array" aca="1" ref="U59:X59" ca="1">TRANSPOSE(TRANSPOSE(U58:X58)+etaN*MMULT(TRANSPOSE(F),t-MMULT(F,TRANSPOSE(U58:X58))))</f>
        <v>8.2263388173368451E-2</v>
      </c>
      <c r="V59" s="76">
        <f ca="1"/>
        <v>0.48287718809014119</v>
      </c>
      <c r="W59" s="76">
        <f ca="1"/>
        <v>0.1047479719891721</v>
      </c>
      <c r="X59" s="76">
        <f ca="1"/>
        <v>0.61820141075727397</v>
      </c>
      <c r="Y59" s="5"/>
      <c r="Z59" s="5"/>
      <c r="AA59" s="13"/>
      <c r="AB59" s="14"/>
      <c r="AC59" s="14"/>
      <c r="AD59" s="14"/>
      <c r="AE59" s="14"/>
      <c r="AF59" s="14"/>
      <c r="AG59" s="14"/>
      <c r="AH59" s="19"/>
    </row>
    <row r="60" spans="3:37" ht="15" customHeight="1" x14ac:dyDescent="0.2">
      <c r="C60" s="6">
        <v>16</v>
      </c>
      <c r="D60" s="75">
        <f t="array" aca="1" ref="D60:G60" ca="1">TRANSPOSE(TRANSPOSE(D59:G59)+etaN*MMULT(TRANSPOSE(X_),t-MMULT(X_,TRANSPOSE(D59:G59))))</f>
        <v>0.12340267887717571</v>
      </c>
      <c r="E60" s="76">
        <f ca="1"/>
        <v>0.76831134714324778</v>
      </c>
      <c r="F60" s="76">
        <f ca="1"/>
        <v>0.1757875472619374</v>
      </c>
      <c r="G60" s="76">
        <f ca="1"/>
        <v>0.33190341309472216</v>
      </c>
      <c r="H60" s="76"/>
      <c r="I60" s="76"/>
      <c r="J60" s="77"/>
      <c r="K60" s="75">
        <f t="array" aca="1" ref="K60:M60" ca="1">TRANSPOSE(TRANSPOSE(K59:M59)+etaN*MMULT(TRANSPOSE(X),t-MMULT(X,TRANSPOSE(K59:M59))))</f>
        <v>0.1401864469236358</v>
      </c>
      <c r="L60" s="76">
        <f ca="1"/>
        <v>0.84613015779139689</v>
      </c>
      <c r="M60" s="76">
        <f ca="1"/>
        <v>0.19160509194909572</v>
      </c>
      <c r="N60" s="76"/>
      <c r="O60" s="76"/>
      <c r="P60" s="77"/>
      <c r="Q60" s="76"/>
      <c r="R60" s="77"/>
      <c r="S60" s="76"/>
      <c r="T60" s="75"/>
      <c r="U60" s="75">
        <f t="array" aca="1" ref="U60:X60" ca="1">TRANSPOSE(TRANSPOSE(U59:X59)+etaN*MMULT(TRANSPOSE(F),t-MMULT(F,TRANSPOSE(U59:X59))))</f>
        <v>8.3074753106863145E-2</v>
      </c>
      <c r="V60" s="76">
        <f ca="1"/>
        <v>0.48550485757558087</v>
      </c>
      <c r="W60" s="76">
        <f ca="1"/>
        <v>0.10664598257520057</v>
      </c>
      <c r="X60" s="76">
        <f ca="1"/>
        <v>0.62750777406868674</v>
      </c>
      <c r="Y60" s="5"/>
      <c r="Z60" s="5"/>
      <c r="AA60" s="13"/>
      <c r="AB60" s="14"/>
      <c r="AC60" s="14"/>
      <c r="AD60" s="14"/>
      <c r="AE60" s="14"/>
      <c r="AF60" s="14"/>
      <c r="AG60" s="14"/>
      <c r="AH60" s="19"/>
    </row>
    <row r="61" spans="3:37" ht="15" customHeight="1" x14ac:dyDescent="0.2">
      <c r="C61" s="6">
        <v>17</v>
      </c>
      <c r="D61" s="75">
        <f t="array" aca="1" ref="D61:G61" ca="1">TRANSPOSE(TRANSPOSE(D60:G60)+etaN*MMULT(TRANSPOSE(X_),t-MMULT(X_,TRANSPOSE(D60:G60))))</f>
        <v>0.12578547124391234</v>
      </c>
      <c r="E61" s="76">
        <f ca="1"/>
        <v>0.78470039045574191</v>
      </c>
      <c r="F61" s="76">
        <f ca="1"/>
        <v>0.18193546136725866</v>
      </c>
      <c r="G61" s="76">
        <f ca="1"/>
        <v>0.3382526648081165</v>
      </c>
      <c r="H61" s="76"/>
      <c r="I61" s="76"/>
      <c r="J61" s="77"/>
      <c r="K61" s="75">
        <f t="array" aca="1" ref="K61:M61" ca="1">TRANSPOSE(TRANSPOSE(K60:M60)+etaN*MMULT(TRANSPOSE(X),t-MMULT(X,TRANSPOSE(K60:M60))))</f>
        <v>0.14389141093604324</v>
      </c>
      <c r="L61" s="76">
        <f ca="1"/>
        <v>0.86793270484066198</v>
      </c>
      <c r="M61" s="76">
        <f ca="1"/>
        <v>0.19899430424091077</v>
      </c>
      <c r="N61" s="76"/>
      <c r="O61" s="76"/>
      <c r="P61" s="77"/>
      <c r="Q61" s="76"/>
      <c r="R61" s="77"/>
      <c r="S61" s="76"/>
      <c r="T61" s="75"/>
      <c r="U61" s="75">
        <f t="array" aca="1" ref="U61:X61" ca="1">TRANSPOSE(TRANSPOSE(U60:X60)+etaN*MMULT(TRANSPOSE(F),t-MMULT(F,TRANSPOSE(U60:X60))))</f>
        <v>8.3705695495071619E-2</v>
      </c>
      <c r="V61" s="76">
        <f ca="1"/>
        <v>0.48700862949186441</v>
      </c>
      <c r="W61" s="76">
        <f ca="1"/>
        <v>0.10832959979680472</v>
      </c>
      <c r="X61" s="76">
        <f ca="1"/>
        <v>0.63549425243051338</v>
      </c>
      <c r="Y61" s="5"/>
      <c r="Z61" s="5"/>
      <c r="AA61" s="13"/>
      <c r="AB61" s="14"/>
      <c r="AC61" s="14"/>
      <c r="AD61" s="14"/>
      <c r="AE61" s="14"/>
      <c r="AF61" s="14"/>
      <c r="AG61" s="14"/>
      <c r="AH61" s="19"/>
    </row>
    <row r="62" spans="3:37" ht="15" customHeight="1" x14ac:dyDescent="0.2">
      <c r="C62" s="6">
        <v>18</v>
      </c>
      <c r="D62" s="75">
        <f t="array" aca="1" ref="D62:G62" ca="1">TRANSPOSE(TRANSPOSE(D61:G61)+etaN*MMULT(TRANSPOSE(X_),t-MMULT(X_,TRANSPOSE(D61:G61))))</f>
        <v>0.12784553710853658</v>
      </c>
      <c r="E62" s="76">
        <f ca="1"/>
        <v>0.79916584227145815</v>
      </c>
      <c r="F62" s="76">
        <f ca="1"/>
        <v>0.1877738158490409</v>
      </c>
      <c r="G62" s="76">
        <f ca="1"/>
        <v>0.34373244081779825</v>
      </c>
      <c r="H62" s="76"/>
      <c r="I62" s="76"/>
      <c r="J62" s="77"/>
      <c r="K62" s="75">
        <f t="array" aca="1" ref="K62:M62" ca="1">TRANSPOSE(TRANSPOSE(K61:M61)+etaN*MMULT(TRANSPOSE(X),t-MMULT(X,TRANSPOSE(K61:M61))))</f>
        <v>0.1472337482473739</v>
      </c>
      <c r="L62" s="76">
        <f ca="1"/>
        <v>0.88751628058399878</v>
      </c>
      <c r="M62" s="76">
        <f ca="1"/>
        <v>0.20603553521435578</v>
      </c>
      <c r="N62" s="76"/>
      <c r="O62" s="76"/>
      <c r="P62" s="77"/>
      <c r="Q62" s="76"/>
      <c r="R62" s="77"/>
      <c r="S62" s="76"/>
      <c r="T62" s="75"/>
      <c r="U62" s="75">
        <f t="array" aca="1" ref="U62:X62" ca="1">TRANSPOSE(TRANSPOSE(U61:X61)+etaN*MMULT(TRANSPOSE(F),t-MMULT(F,TRANSPOSE(U61:X61))))</f>
        <v>8.4193251342266032E-2</v>
      </c>
      <c r="V62" s="76">
        <f ca="1"/>
        <v>0.48761899677753134</v>
      </c>
      <c r="W62" s="76">
        <f ca="1"/>
        <v>0.10983993702157979</v>
      </c>
      <c r="X62" s="76">
        <f ca="1"/>
        <v>0.64241551205049519</v>
      </c>
      <c r="Y62" s="5"/>
      <c r="Z62" s="5"/>
      <c r="AA62" s="13"/>
      <c r="AB62" s="14"/>
      <c r="AC62" s="14"/>
      <c r="AD62" s="14"/>
      <c r="AE62" s="14"/>
      <c r="AF62" s="14"/>
      <c r="AG62" s="14"/>
      <c r="AH62" s="19"/>
    </row>
    <row r="63" spans="3:37" ht="15" customHeight="1" x14ac:dyDescent="0.2">
      <c r="C63" s="6">
        <v>19</v>
      </c>
      <c r="D63" s="75">
        <f t="array" aca="1" ref="D63:G63" ca="1">TRANSPOSE(TRANSPOSE(D62:G62)+etaN*MMULT(TRANSPOSE(X_),t-MMULT(X_,TRANSPOSE(D62:G62))))</f>
        <v>0.12962071114324306</v>
      </c>
      <c r="E63" s="76">
        <f ca="1"/>
        <v>0.81193320448066164</v>
      </c>
      <c r="F63" s="76">
        <f ca="1"/>
        <v>0.1933385047584788</v>
      </c>
      <c r="G63" s="76">
        <f ca="1"/>
        <v>0.34844505016308286</v>
      </c>
      <c r="H63" s="76"/>
      <c r="I63" s="76"/>
      <c r="J63" s="77"/>
      <c r="K63" s="75">
        <f t="array" aca="1" ref="K63:M63" ca="1">TRANSPOSE(TRANSPOSE(K62:M62)+etaN*MMULT(TRANSPOSE(X),t-MMULT(X,TRANSPOSE(K62:M62))))</f>
        <v>0.15024919859074654</v>
      </c>
      <c r="L63" s="76">
        <f ca="1"/>
        <v>0.90510073637185129</v>
      </c>
      <c r="M63" s="76">
        <f ca="1"/>
        <v>0.2127627112112358</v>
      </c>
      <c r="N63" s="76"/>
      <c r="O63" s="76"/>
      <c r="P63" s="77"/>
      <c r="Q63" s="76"/>
      <c r="R63" s="77"/>
      <c r="S63" s="76"/>
      <c r="T63" s="75"/>
      <c r="U63" s="75">
        <f t="array" aca="1" ref="U63:X63" ca="1">TRANSPOSE(TRANSPOSE(U62:X62)+etaN*MMULT(TRANSPOSE(F),t-MMULT(F,TRANSPOSE(U62:X62))))</f>
        <v>8.4567097661073495E-2</v>
      </c>
      <c r="V63" s="76">
        <f ca="1"/>
        <v>0.4875206623655054</v>
      </c>
      <c r="W63" s="76">
        <f ca="1"/>
        <v>0.11120997499280602</v>
      </c>
      <c r="X63" s="76">
        <f ca="1"/>
        <v>0.64847582893985278</v>
      </c>
      <c r="Y63" s="5"/>
      <c r="Z63" s="5"/>
      <c r="AA63" s="13"/>
      <c r="AB63" s="14"/>
      <c r="AC63" s="14"/>
      <c r="AD63" s="14"/>
      <c r="AE63" s="14"/>
      <c r="AF63" s="14"/>
      <c r="AG63" s="14"/>
      <c r="AH63" s="19"/>
    </row>
    <row r="64" spans="3:37" ht="15" customHeight="1" x14ac:dyDescent="0.2">
      <c r="C64" s="6">
        <v>20</v>
      </c>
      <c r="D64" s="75">
        <f t="array" aca="1" ref="D64:G64" ca="1">TRANSPOSE(TRANSPOSE(D63:G63)+etaN*MMULT(TRANSPOSE(X_),t-MMULT(X_,TRANSPOSE(D63:G63))))</f>
        <v>0.13114439079118606</v>
      </c>
      <c r="E64" s="76">
        <f ca="1"/>
        <v>0.82320153391024442</v>
      </c>
      <c r="F64" s="76">
        <f ca="1"/>
        <v>0.19866121289883804</v>
      </c>
      <c r="G64" s="76">
        <f ca="1"/>
        <v>0.35248080204973348</v>
      </c>
      <c r="H64" s="76"/>
      <c r="I64" s="76"/>
      <c r="J64" s="77"/>
      <c r="K64" s="75">
        <f t="array" aca="1" ref="K64:M64" ca="1">TRANSPOSE(TRANSPOSE(K63:M63)+etaN*MMULT(TRANSPOSE(X),t-MMULT(X,TRANSPOSE(K63:M63))))</f>
        <v>0.15296996277407593</v>
      </c>
      <c r="L64" s="76">
        <f ca="1"/>
        <v>0.92088415183824957</v>
      </c>
      <c r="M64" s="76">
        <f ca="1"/>
        <v>0.21920639971859485</v>
      </c>
      <c r="N64" s="76"/>
      <c r="O64" s="76"/>
      <c r="P64" s="77"/>
      <c r="Q64" s="76"/>
      <c r="R64" s="77"/>
      <c r="S64" s="76"/>
      <c r="T64" s="75"/>
      <c r="U64" s="75">
        <f t="array" aca="1" ref="U64:X64" ca="1">TRANSPOSE(TRANSPOSE(U63:X63)+etaN*MMULT(TRANSPOSE(F),t-MMULT(F,TRANSPOSE(U63:X63))))</f>
        <v>8.4851011441013077E-2</v>
      </c>
      <c r="V64" s="76">
        <f ca="1"/>
        <v>0.48686161723542726</v>
      </c>
      <c r="W64" s="76">
        <f ca="1"/>
        <v>0.11246617370010147</v>
      </c>
      <c r="X64" s="76">
        <f ca="1"/>
        <v>0.65383907634006133</v>
      </c>
      <c r="Y64" s="5"/>
      <c r="Z64" s="5"/>
      <c r="AA64" s="13"/>
      <c r="AB64" s="14"/>
      <c r="AC64" s="14"/>
      <c r="AD64" s="14"/>
      <c r="AE64" s="14"/>
      <c r="AF64" s="14"/>
      <c r="AG64" s="14"/>
      <c r="AH64" s="19"/>
    </row>
    <row r="65" spans="3:45" ht="15" customHeight="1" x14ac:dyDescent="0.2">
      <c r="C65" s="6">
        <v>21</v>
      </c>
      <c r="D65" s="75">
        <f t="array" aca="1" ref="D65:G65" ca="1">TRANSPOSE(TRANSPOSE(D64:G64)+etaN*MMULT(TRANSPOSE(X_),t-MMULT(X_,TRANSPOSE(D64:G64))))</f>
        <v>0.13244605664426598</v>
      </c>
      <c r="E65" s="76">
        <f ca="1"/>
        <v>0.83314654366600183</v>
      </c>
      <c r="F65" s="76">
        <f ca="1"/>
        <v>0.20376990946648474</v>
      </c>
      <c r="G65" s="76">
        <f ca="1"/>
        <v>0.35591941314014486</v>
      </c>
      <c r="H65" s="76"/>
      <c r="I65" s="76"/>
      <c r="J65" s="77"/>
      <c r="K65" s="75">
        <f t="array" aca="1" ref="K65:M65" ca="1">TRANSPOSE(TRANSPOSE(K64:M64)+etaN*MMULT(TRANSPOSE(X),t-MMULT(X,TRANSPOSE(K64:M64))))</f>
        <v>0.15542505313380087</v>
      </c>
      <c r="L65" s="76">
        <f ca="1"/>
        <v>0.93504499092031601</v>
      </c>
      <c r="M65" s="76">
        <f ca="1"/>
        <v>0.22539414198959662</v>
      </c>
      <c r="N65" s="76"/>
      <c r="O65" s="76"/>
      <c r="P65" s="77"/>
      <c r="Q65" s="76"/>
      <c r="R65" s="77"/>
      <c r="S65" s="76"/>
      <c r="T65" s="75"/>
      <c r="U65" s="75">
        <f t="array" aca="1" ref="U65:X65" ca="1">TRANSPOSE(TRANSPOSE(U64:X64)+etaN*MMULT(TRANSPOSE(F),t-MMULT(F,TRANSPOSE(U64:X64))))</f>
        <v>8.506403940943677E-2</v>
      </c>
      <c r="V65" s="76">
        <f ca="1"/>
        <v>0.48576041894847038</v>
      </c>
      <c r="W65" s="76">
        <f ca="1"/>
        <v>0.11362976473929112</v>
      </c>
      <c r="X65" s="76">
        <f ca="1"/>
        <v>0.65863673240364007</v>
      </c>
      <c r="Y65" s="5"/>
      <c r="Z65" s="5"/>
      <c r="AA65" s="13"/>
      <c r="AB65" s="14"/>
      <c r="AC65" s="14"/>
      <c r="AD65" s="14"/>
      <c r="AE65" s="14"/>
      <c r="AF65" s="14"/>
      <c r="AG65" s="14"/>
      <c r="AH65" s="19"/>
    </row>
    <row r="66" spans="3:45" ht="15" customHeight="1" x14ac:dyDescent="0.2">
      <c r="C66" s="6">
        <v>22</v>
      </c>
      <c r="D66" s="75">
        <f t="array" aca="1" ref="D66:G66" ca="1">TRANSPOSE(TRANSPOSE(D65:G65)+etaN*MMULT(TRANSPOSE(X_),t-MMULT(X_,TRANSPOSE(D65:G65))))</f>
        <v>0.13355173179356392</v>
      </c>
      <c r="E66" s="76">
        <f ca="1"/>
        <v>0.84192334076479758</v>
      </c>
      <c r="F66" s="76">
        <f ca="1"/>
        <v>0.20868928380011731</v>
      </c>
      <c r="G66" s="76">
        <f ca="1"/>
        <v>0.35883124980341524</v>
      </c>
      <c r="H66" s="76"/>
      <c r="I66" s="76"/>
      <c r="J66" s="77"/>
      <c r="K66" s="75">
        <f t="array" aca="1" ref="K66:M66" ca="1">TRANSPOSE(TRANSPOSE(K65:M65)+etaN*MMULT(TRANSPOSE(X),t-MMULT(X,TRANSPOSE(K65:M65))))</f>
        <v>0.15764060928372536</v>
      </c>
      <c r="L66" s="76">
        <f ca="1"/>
        <v>0.94774404437051274</v>
      </c>
      <c r="M66" s="76">
        <f ca="1"/>
        <v>0.23135075272547875</v>
      </c>
      <c r="N66" s="76"/>
      <c r="O66" s="76"/>
      <c r="P66" s="77"/>
      <c r="Q66" s="76"/>
      <c r="R66" s="77"/>
      <c r="S66" s="76"/>
      <c r="T66" s="75"/>
      <c r="U66" s="75">
        <f t="array" aca="1" ref="U66:X66" ca="1">TRANSPOSE(TRANSPOSE(U65:X65)+etaN*MMULT(TRANSPOSE(F),t-MMULT(F,TRANSPOSE(U65:X65))))</f>
        <v>8.5221435913200444E-2</v>
      </c>
      <c r="V66" s="76">
        <f ca="1"/>
        <v>0.48431202737491308</v>
      </c>
      <c r="W66" s="76">
        <f ca="1"/>
        <v>0.11471778749660205</v>
      </c>
      <c r="X66" s="76">
        <f ca="1"/>
        <v>0.66297430056466222</v>
      </c>
      <c r="Y66" s="5"/>
      <c r="Z66" s="5"/>
      <c r="AA66" s="13"/>
      <c r="AB66" s="14"/>
      <c r="AC66" s="14"/>
      <c r="AD66" s="14"/>
      <c r="AE66" s="14"/>
      <c r="AF66" s="14"/>
      <c r="AG66" s="14"/>
      <c r="AH66" s="19"/>
    </row>
    <row r="67" spans="3:45" ht="15" customHeight="1" x14ac:dyDescent="0.2">
      <c r="C67" s="6">
        <v>23</v>
      </c>
      <c r="D67" s="75">
        <f t="array" aca="1" ref="D67:G67" ca="1">TRANSPOSE(TRANSPOSE(D66:G66)+etaN*MMULT(TRANSPOSE(X_),t-MMULT(X_,TRANSPOSE(D66:G66))))</f>
        <v>0.13448438730941181</v>
      </c>
      <c r="E67" s="76">
        <f ca="1"/>
        <v>0.8496688427107465</v>
      </c>
      <c r="F67" s="76">
        <f ca="1"/>
        <v>0.21344113002746551</v>
      </c>
      <c r="G67" s="76">
        <f ca="1"/>
        <v>0.36127842468039761</v>
      </c>
      <c r="H67" s="76"/>
      <c r="I67" s="76"/>
      <c r="J67" s="77"/>
      <c r="K67" s="75">
        <f t="array" aca="1" ref="K67:M67" ca="1">TRANSPOSE(TRANSPOSE(K66:M66)+etaN*MMULT(TRANSPOSE(X),t-MMULT(X,TRANSPOSE(K66:M66))))</f>
        <v>0.15964018259574392</v>
      </c>
      <c r="L67" s="76">
        <f ca="1"/>
        <v>0.95912617990492044</v>
      </c>
      <c r="M67" s="76">
        <f ca="1"/>
        <v>0.23709859008047104</v>
      </c>
      <c r="N67" s="76"/>
      <c r="O67" s="76"/>
      <c r="P67" s="77"/>
      <c r="Q67" s="76"/>
      <c r="R67" s="77"/>
      <c r="S67" s="76"/>
      <c r="T67" s="75"/>
      <c r="U67" s="75">
        <f t="array" aca="1" ref="U67:X67" ca="1">TRANSPOSE(TRANSPOSE(U66:X66)+etaN*MMULT(TRANSPOSE(F),t-MMULT(F,TRANSPOSE(U66:X66))))</f>
        <v>8.5335414885460731E-2</v>
      </c>
      <c r="V67" s="76">
        <f ca="1"/>
        <v>0.48259248361570733</v>
      </c>
      <c r="W67" s="76">
        <f ca="1"/>
        <v>0.11574391993766878</v>
      </c>
      <c r="X67" s="76">
        <f ca="1"/>
        <v>0.66693645724397488</v>
      </c>
      <c r="Y67" s="5"/>
      <c r="Z67" s="5"/>
      <c r="AA67" s="13"/>
      <c r="AB67" s="14"/>
      <c r="AC67" s="14"/>
      <c r="AD67" s="14"/>
      <c r="AE67" s="14"/>
      <c r="AF67" s="14"/>
      <c r="AG67" s="14"/>
      <c r="AH67" s="19"/>
    </row>
    <row r="68" spans="3:45" ht="15" customHeight="1" x14ac:dyDescent="0.2">
      <c r="C68" s="6">
        <v>24</v>
      </c>
      <c r="D68" s="75">
        <f t="array" aca="1" ref="D68:G68" ca="1">TRANSPOSE(TRANSPOSE(D67:G67)+etaN*MMULT(TRANSPOSE(X_),t-MMULT(X_,TRANSPOSE(D67:G67))))</f>
        <v>0.13526430016874863</v>
      </c>
      <c r="E68" s="76">
        <f ca="1"/>
        <v>0.85650391066727904</v>
      </c>
      <c r="F68" s="76">
        <f ca="1"/>
        <v>0.21804468660250997</v>
      </c>
      <c r="G68" s="76">
        <f ca="1"/>
        <v>0.36331576464895238</v>
      </c>
      <c r="H68" s="76"/>
      <c r="I68" s="76"/>
      <c r="J68" s="77"/>
      <c r="K68" s="75">
        <f t="array" aca="1" ref="K68:M68" ca="1">TRANSPOSE(TRANSPOSE(K67:M67)+etaN*MMULT(TRANSPOSE(X),t-MMULT(X,TRANSPOSE(K67:M67))))</f>
        <v>0.16144499250888375</v>
      </c>
      <c r="L68" s="76">
        <f ca="1"/>
        <v>0.96932191903705489</v>
      </c>
      <c r="M68" s="76">
        <f ca="1"/>
        <v>0.24265779892854858</v>
      </c>
      <c r="N68" s="76"/>
      <c r="O68" s="76"/>
      <c r="P68" s="77"/>
      <c r="Q68" s="76"/>
      <c r="R68" s="77"/>
      <c r="S68" s="76"/>
      <c r="T68" s="75"/>
      <c r="U68" s="75">
        <f t="array" aca="1" ref="U68:X68" ca="1">TRANSPOSE(TRANSPOSE(U67:X67)+etaN*MMULT(TRANSPOSE(F),t-MMULT(F,TRANSPOSE(U67:X67))))</f>
        <v>8.5415752750683138E-2</v>
      </c>
      <c r="V68" s="76">
        <f ca="1"/>
        <v>0.48066266142657627</v>
      </c>
      <c r="W68" s="76">
        <f ca="1"/>
        <v>0.11671914471585233</v>
      </c>
      <c r="X68" s="76">
        <f ca="1"/>
        <v>0.67059117916349675</v>
      </c>
      <c r="Y68" s="5"/>
      <c r="Z68" s="5"/>
      <c r="AA68" s="13"/>
      <c r="AB68" s="14"/>
      <c r="AC68" s="14"/>
      <c r="AD68" s="14"/>
      <c r="AE68" s="14"/>
      <c r="AF68" s="14"/>
      <c r="AG68" s="14"/>
      <c r="AH68" s="19"/>
    </row>
    <row r="69" spans="3:45" ht="15" customHeight="1" x14ac:dyDescent="0.2">
      <c r="C69" s="6">
        <v>25</v>
      </c>
      <c r="D69" s="75">
        <f t="array" aca="1" ref="D69:G69" ca="1">TRANSPOSE(TRANSPOSE(D68:G68)+etaN*MMULT(TRANSPOSE(X_),t-MMULT(X_,TRANSPOSE(D68:G68))))</f>
        <v>0.135909369206511</v>
      </c>
      <c r="E69" s="76">
        <f ca="1"/>
        <v>0.86253523246132535</v>
      </c>
      <c r="F69" s="76">
        <f ca="1"/>
        <v>0.22251693602343997</v>
      </c>
      <c r="G69" s="76">
        <f ca="1"/>
        <v>0.36499166527095167</v>
      </c>
      <c r="H69" s="76"/>
      <c r="I69" s="76"/>
      <c r="J69" s="77"/>
      <c r="K69" s="75">
        <f t="array" aca="1" ref="K69:M69" ca="1">TRANSPOSE(TRANSPOSE(K68:M68)+etaN*MMULT(TRANSPOSE(X),t-MMULT(X,TRANSPOSE(K68:M68))))</f>
        <v>0.163074157456462</v>
      </c>
      <c r="L69" s="76">
        <f ca="1"/>
        <v>0.97844885776028157</v>
      </c>
      <c r="M69" s="76">
        <f ca="1"/>
        <v>0.24804653003985852</v>
      </c>
      <c r="N69" s="76"/>
      <c r="O69" s="76"/>
      <c r="P69" s="77"/>
      <c r="Q69" s="76"/>
      <c r="R69" s="77"/>
      <c r="S69" s="76"/>
      <c r="T69" s="75"/>
      <c r="U69" s="75">
        <f t="array" aca="1" ref="U69:X69" ca="1">TRANSPOSE(TRANSPOSE(U68:X68)+etaN*MMULT(TRANSPOSE(F),t-MMULT(F,TRANSPOSE(U68:X68))))</f>
        <v>8.5470271815729401E-2</v>
      </c>
      <c r="V69" s="76">
        <f ca="1"/>
        <v>0.47857127499839675</v>
      </c>
      <c r="W69" s="76">
        <f ca="1"/>
        <v>0.11765228324372899</v>
      </c>
      <c r="X69" s="76">
        <f ca="1"/>
        <v>0.6739930525367821</v>
      </c>
      <c r="Y69" s="5"/>
      <c r="Z69" s="5"/>
      <c r="AA69" s="13"/>
      <c r="AB69" s="14"/>
      <c r="AC69" s="14"/>
      <c r="AD69" s="14"/>
      <c r="AE69" s="14"/>
      <c r="AF69" s="14"/>
      <c r="AG69" s="14"/>
      <c r="AH69" s="19"/>
    </row>
    <row r="70" spans="3:45" ht="15" customHeight="1" x14ac:dyDescent="0.2">
      <c r="C70" s="6">
        <v>26</v>
      </c>
      <c r="D70" s="75">
        <f t="array" aca="1" ref="D70:G70" ca="1">TRANSPOSE(TRANSPOSE(D69:G69)+etaN*MMULT(TRANSPOSE(X_),t-MMULT(X_,TRANSPOSE(D69:G69))))</f>
        <v>0.13643539401379259</v>
      </c>
      <c r="E70" s="76">
        <f ca="1"/>
        <v>0.86785698475807427</v>
      </c>
      <c r="F70" s="76">
        <f ca="1"/>
        <v>0.22687286940115589</v>
      </c>
      <c r="G70" s="76">
        <f ca="1"/>
        <v>0.3663488450338972</v>
      </c>
      <c r="H70" s="76"/>
      <c r="I70" s="76"/>
      <c r="J70" s="77"/>
      <c r="K70" s="75">
        <f t="array" aca="1" ref="K70:M70" ca="1">TRANSPOSE(TRANSPOSE(K69:M69)+etaN*MMULT(TRANSPOSE(X),t-MMULT(X,TRANSPOSE(K69:M69))))</f>
        <v>0.16454490292488641</v>
      </c>
      <c r="L70" s="76">
        <f ca="1"/>
        <v>0.98661294654225939</v>
      </c>
      <c r="M70" s="76">
        <f ca="1"/>
        <v>0.25328113755244819</v>
      </c>
      <c r="N70" s="76"/>
      <c r="O70" s="76"/>
      <c r="P70" s="77"/>
      <c r="Q70" s="76"/>
      <c r="R70" s="77"/>
      <c r="S70" s="76"/>
      <c r="T70" s="75"/>
      <c r="U70" s="75">
        <f t="array" aca="1" ref="U70:X70" ca="1">TRANSPOSE(TRANSPOSE(U69:X69)+etaN*MMULT(TRANSPOSE(F),t-MMULT(F,TRANSPOSE(U69:X69))))</f>
        <v>8.5505227837753994E-2</v>
      </c>
      <c r="V70" s="76">
        <f ca="1"/>
        <v>0.4763572905031403</v>
      </c>
      <c r="W70" s="76">
        <f ca="1"/>
        <v>0.11855042390076423</v>
      </c>
      <c r="X70" s="76">
        <f ca="1"/>
        <v>0.67718592630854912</v>
      </c>
      <c r="Y70" s="5"/>
      <c r="Z70" s="5"/>
      <c r="AA70" s="13"/>
      <c r="AB70" s="14"/>
      <c r="AC70" s="14"/>
      <c r="AD70" s="14"/>
      <c r="AE70" s="14"/>
      <c r="AF70" s="14"/>
      <c r="AG70" s="14"/>
      <c r="AH70" s="19"/>
    </row>
    <row r="71" spans="3:45" ht="15" customHeight="1" x14ac:dyDescent="0.2">
      <c r="C71" s="6">
        <v>27</v>
      </c>
      <c r="D71" s="75">
        <f t="array" aca="1" ref="D71:G71" ca="1">TRANSPOSE(TRANSPOSE(D70:G70)+etaN*MMULT(TRANSPOSE(X_),t-MMULT(X_,TRANSPOSE(D70:G70))))</f>
        <v>0.13685632112819246</v>
      </c>
      <c r="E71" s="76">
        <f ca="1"/>
        <v>0.87255230030409536</v>
      </c>
      <c r="F71" s="76">
        <f ca="1"/>
        <v>0.23112572000047166</v>
      </c>
      <c r="G71" s="76">
        <f ca="1"/>
        <v>0.36742501113874537</v>
      </c>
      <c r="H71" s="76"/>
      <c r="I71" s="76"/>
      <c r="J71" s="77"/>
      <c r="K71" s="75">
        <f t="array" aca="1" ref="K71:M71" ca="1">TRANSPOSE(TRANSPOSE(K70:M70)+etaN*MMULT(TRANSPOSE(X),t-MMULT(X,TRANSPOSE(K70:M70))))</f>
        <v>0.16587274890871745</v>
      </c>
      <c r="L71" s="76">
        <f ca="1"/>
        <v>0.99390964356352507</v>
      </c>
      <c r="M71" s="76">
        <f ca="1"/>
        <v>0.25837635688867705</v>
      </c>
      <c r="N71" s="76"/>
      <c r="O71" s="76"/>
      <c r="P71" s="77"/>
      <c r="Q71" s="76"/>
      <c r="R71" s="77"/>
      <c r="S71" s="76"/>
      <c r="T71" s="75"/>
      <c r="U71" s="75">
        <f t="array" aca="1" ref="U71:X71" ca="1">TRANSPOSE(TRANSPOSE(U70:X70)+etaN*MMULT(TRANSPOSE(F),t-MMULT(F,TRANSPOSE(U70:X70))))</f>
        <v>8.552562076353519E-2</v>
      </c>
      <c r="V71" s="76">
        <f ca="1"/>
        <v>0.47405185959438206</v>
      </c>
      <c r="W71" s="76">
        <f ca="1"/>
        <v>0.11941926536203178</v>
      </c>
      <c r="X71" s="76">
        <f ca="1"/>
        <v>0.68020503946912969</v>
      </c>
      <c r="Y71" s="5"/>
      <c r="Z71" s="5"/>
      <c r="AA71" s="13"/>
      <c r="AB71" s="14"/>
      <c r="AC71" s="14"/>
      <c r="AD71" s="14"/>
      <c r="AE71" s="14"/>
      <c r="AF71" s="14"/>
      <c r="AG71" s="14"/>
      <c r="AH71" s="19"/>
    </row>
    <row r="72" spans="3:45" ht="15" customHeight="1" x14ac:dyDescent="0.2">
      <c r="C72" s="6">
        <v>28</v>
      </c>
      <c r="D72" s="75">
        <f t="array" aca="1" ref="D72:G72" ca="1">TRANSPOSE(TRANSPOSE(D71:G71)+etaN*MMULT(TRANSPOSE(X_),t-MMULT(X_,TRANSPOSE(D71:G71))))</f>
        <v>0.13718446135216378</v>
      </c>
      <c r="E72" s="76">
        <f ca="1"/>
        <v>0.87669456309944405</v>
      </c>
      <c r="F72" s="76">
        <f ca="1"/>
        <v>0.23528716939274599</v>
      </c>
      <c r="G72" s="76">
        <f ca="1"/>
        <v>0.36825344720736514</v>
      </c>
      <c r="H72" s="76"/>
      <c r="I72" s="76"/>
      <c r="J72" s="77"/>
      <c r="K72" s="75">
        <f t="array" aca="1" ref="K72:M72" ca="1">TRANSPOSE(TRANSPOSE(K71:M71)+etaN*MMULT(TRANSPOSE(X),t-MMULT(X,TRANSPOSE(K71:M71))))</f>
        <v>0.16707167880234786</v>
      </c>
      <c r="L72" s="76">
        <f ca="1"/>
        <v>1.0004249537526531</v>
      </c>
      <c r="M72" s="76">
        <f ca="1"/>
        <v>0.26334546505284495</v>
      </c>
      <c r="N72" s="76"/>
      <c r="O72" s="76"/>
      <c r="P72" s="77"/>
      <c r="Q72" s="76"/>
      <c r="R72" s="77"/>
      <c r="S72" s="76"/>
      <c r="T72" s="75"/>
      <c r="U72" s="75">
        <f t="array" aca="1" ref="U72:X72" ca="1">TRANSPOSE(TRANSPOSE(U71:X71)+etaN*MMULT(TRANSPOSE(F),t-MMULT(F,TRANSPOSE(U71:X71))))</f>
        <v>8.5535443869648758E-2</v>
      </c>
      <c r="V72" s="76">
        <f ca="1"/>
        <v>0.47167986962332414</v>
      </c>
      <c r="W72" s="76">
        <f ca="1"/>
        <v>0.12026339187310631</v>
      </c>
      <c r="X72" s="76">
        <f ca="1"/>
        <v>0.68307872669535308</v>
      </c>
      <c r="Y72" s="5"/>
      <c r="Z72" s="5"/>
      <c r="AA72" s="13"/>
      <c r="AB72" s="14"/>
      <c r="AC72" s="14"/>
      <c r="AD72" s="14"/>
      <c r="AE72" s="14"/>
      <c r="AF72" s="14"/>
      <c r="AG72" s="14"/>
      <c r="AH72" s="19"/>
      <c r="AJ72" s="12"/>
      <c r="AK72" s="12"/>
      <c r="AL72" s="12"/>
      <c r="AM72" s="12"/>
      <c r="AN72" s="12"/>
    </row>
    <row r="73" spans="3:45" ht="15" customHeight="1" x14ac:dyDescent="0.2">
      <c r="C73" s="6">
        <v>29</v>
      </c>
      <c r="D73" s="75">
        <f t="array" aca="1" ref="D73:G73" ca="1">TRANSPOSE(TRANSPOSE(D72:G72)+etaN*MMULT(TRANSPOSE(X_),t-MMULT(X_,TRANSPOSE(D72:G72))))</f>
        <v>0.13743068158532842</v>
      </c>
      <c r="E73" s="76">
        <f ca="1"/>
        <v>0.88034855167839177</v>
      </c>
      <c r="F73" s="76">
        <f ca="1"/>
        <v>0.23936752943193917</v>
      </c>
      <c r="G73" s="76">
        <f ca="1"/>
        <v>0.3688635320665094</v>
      </c>
      <c r="H73" s="76"/>
      <c r="I73" s="76"/>
      <c r="J73" s="77"/>
      <c r="K73" s="75">
        <f t="array" aca="1" ref="K73:M73" ca="1">TRANSPOSE(TRANSPOSE(K72:M72)+etaN*MMULT(TRANSPOSE(X),t-MMULT(X,TRANSPOSE(K72:M72))))</f>
        <v>0.16815429156660269</v>
      </c>
      <c r="L73" s="76">
        <f ca="1"/>
        <v>1.0062363649273784</v>
      </c>
      <c r="M73" s="76">
        <f ca="1"/>
        <v>0.26820042505479763</v>
      </c>
      <c r="N73" s="76"/>
      <c r="O73" s="76"/>
      <c r="P73" s="77"/>
      <c r="Q73" s="76"/>
      <c r="R73" s="77"/>
      <c r="S73" s="76"/>
      <c r="T73" s="75"/>
      <c r="U73" s="75">
        <f t="array" aca="1" ref="U73:X73" ca="1">TRANSPOSE(TRANSPOSE(U72:X72)+etaN*MMULT(TRANSPOSE(F),t-MMULT(F,TRANSPOSE(U72:X72))))</f>
        <v>8.55378835140366E-2</v>
      </c>
      <c r="V73" s="76">
        <f ca="1"/>
        <v>0.46926118654725046</v>
      </c>
      <c r="W73" s="76">
        <f ca="1"/>
        <v>0.12108649396109125</v>
      </c>
      <c r="X73" s="76">
        <f ca="1"/>
        <v>0.68582978590408428</v>
      </c>
      <c r="Y73" s="5"/>
      <c r="Z73" s="5"/>
      <c r="AA73" s="13"/>
      <c r="AB73" s="14"/>
      <c r="AC73" s="14"/>
      <c r="AD73" s="14"/>
      <c r="AE73" s="14"/>
      <c r="AF73" s="14"/>
      <c r="AG73" s="14"/>
      <c r="AH73" s="19"/>
      <c r="AJ73" s="12"/>
      <c r="AK73" s="12"/>
      <c r="AL73" s="12"/>
      <c r="AM73" s="12"/>
      <c r="AN73" s="12"/>
    </row>
    <row r="74" spans="3:45" ht="15" customHeight="1" x14ac:dyDescent="0.2">
      <c r="C74" s="6">
        <v>30</v>
      </c>
      <c r="D74" s="75">
        <f t="array" aca="1" ref="D74:G74" ca="1">TRANSPOSE(TRANSPOSE(D73:G73)+etaN*MMULT(TRANSPOSE(X_),t-MMULT(X_,TRANSPOSE(D73:G73))))</f>
        <v>0.13760457415963412</v>
      </c>
      <c r="E74" s="76">
        <f ca="1"/>
        <v>0.88357144831185219</v>
      </c>
      <c r="F74" s="76">
        <f ca="1"/>
        <v>0.24337590288940486</v>
      </c>
      <c r="G74" s="76">
        <f ca="1"/>
        <v>0.36928119769130741</v>
      </c>
      <c r="H74" s="76"/>
      <c r="I74" s="76"/>
      <c r="J74" s="77"/>
      <c r="K74" s="75">
        <f t="array" aca="1" ref="K74:M74" ca="1">TRANSPOSE(TRANSPOSE(K73:M73)+etaN*MMULT(TRANSPOSE(X),t-MMULT(X,TRANSPOSE(K73:M73))))</f>
        <v>0.16913193882651834</v>
      </c>
      <c r="L74" s="76">
        <f ca="1"/>
        <v>1.01141369123112</v>
      </c>
      <c r="M74" s="76">
        <f ca="1"/>
        <v>0.27295201603148905</v>
      </c>
      <c r="N74" s="76"/>
      <c r="O74" s="76"/>
      <c r="P74" s="77"/>
      <c r="Q74" s="76"/>
      <c r="R74" s="77"/>
      <c r="S74" s="76"/>
      <c r="T74" s="75"/>
      <c r="U74" s="75">
        <f t="array" aca="1" ref="U74:X74" ca="1">TRANSPOSE(TRANSPOSE(U73:X73)+etaN*MMULT(TRANSPOSE(F),t-MMULT(F,TRANSPOSE(U73:X73))))</f>
        <v>8.5535479289080688E-2</v>
      </c>
      <c r="V74" s="76">
        <f ca="1"/>
        <v>0.46681165144677561</v>
      </c>
      <c r="W74" s="76">
        <f ca="1"/>
        <v>0.12189154539769063</v>
      </c>
      <c r="X74" s="76">
        <f ca="1"/>
        <v>0.68847657473572754</v>
      </c>
      <c r="Y74" s="5"/>
      <c r="Z74" s="5"/>
      <c r="AA74" s="13"/>
      <c r="AB74" s="14"/>
      <c r="AC74" s="14"/>
      <c r="AD74" s="14"/>
      <c r="AE74" s="14"/>
      <c r="AF74" s="14"/>
      <c r="AG74" s="14"/>
      <c r="AH74" s="19"/>
      <c r="AJ74" s="12"/>
      <c r="AK74" s="12"/>
      <c r="AL74" s="12"/>
      <c r="AM74" s="12"/>
      <c r="AN74" s="12"/>
      <c r="AO74" s="12"/>
      <c r="AP74" s="12"/>
      <c r="AQ74" s="12"/>
      <c r="AR74" s="12"/>
      <c r="AS74" s="12"/>
    </row>
    <row r="75" spans="3:45" ht="15" customHeight="1" x14ac:dyDescent="0.2">
      <c r="C75" s="6">
        <v>31</v>
      </c>
      <c r="D75" s="75">
        <f t="array" aca="1" ref="D75:G75" ca="1">TRANSPOSE(TRANSPOSE(D74:G74)+etaN*MMULT(TRANSPOSE(X_),t-MMULT(X_,TRANSPOSE(D74:G74))))</f>
        <v>0.13771460631571003</v>
      </c>
      <c r="E75" s="76">
        <f ca="1"/>
        <v>0.88641372985554645</v>
      </c>
      <c r="F75" s="76">
        <f ca="1"/>
        <v>0.24732032525021552</v>
      </c>
      <c r="G75" s="76">
        <f ca="1"/>
        <v>0.36952933344334993</v>
      </c>
      <c r="H75" s="76"/>
      <c r="I75" s="76"/>
      <c r="J75" s="77"/>
      <c r="K75" s="75">
        <f t="array" aca="1" ref="K75:M75" ca="1">TRANSPOSE(TRANSPOSE(K74:M74)+etaN*MMULT(TRANSPOSE(X),t-MMULT(X,TRANSPOSE(K74:M74))))</f>
        <v>0.17001484839254261</v>
      </c>
      <c r="L75" s="76">
        <f ca="1"/>
        <v>1.0160198330452956</v>
      </c>
      <c r="M75" s="76">
        <f ca="1"/>
        <v>0.27760995048280973</v>
      </c>
      <c r="N75" s="76"/>
      <c r="O75" s="76"/>
      <c r="P75" s="77"/>
      <c r="Q75" s="76"/>
      <c r="R75" s="77"/>
      <c r="S75" s="76"/>
      <c r="T75" s="75"/>
      <c r="U75" s="75">
        <f t="array" aca="1" ref="U75:X75" ca="1">TRANSPOSE(TRANSPOSE(U74:X74)+etaN*MMULT(TRANSPOSE(F),t-MMULT(F,TRANSPOSE(U74:X74))))</f>
        <v>8.5530252425643979E-2</v>
      </c>
      <c r="V75" s="76">
        <f ca="1"/>
        <v>0.46434387949307704</v>
      </c>
      <c r="W75" s="76">
        <f ca="1"/>
        <v>0.12268094508624677</v>
      </c>
      <c r="X75" s="76">
        <f ca="1"/>
        <v>0.6910338897004773</v>
      </c>
      <c r="Y75" s="5"/>
      <c r="Z75" s="5"/>
      <c r="AA75" s="13"/>
      <c r="AB75" s="14"/>
      <c r="AC75" s="14"/>
      <c r="AD75" s="14"/>
      <c r="AE75" s="14"/>
      <c r="AF75" s="14"/>
      <c r="AG75" s="14"/>
      <c r="AH75" s="19"/>
    </row>
    <row r="76" spans="3:45" ht="15" customHeight="1" x14ac:dyDescent="0.2">
      <c r="C76" s="6">
        <v>32</v>
      </c>
      <c r="D76" s="75">
        <f t="array" aca="1" ref="D76:G76" ca="1">TRANSPOSE(TRANSPOSE(D75:G75)+etaN*MMULT(TRANSPOSE(X_),t-MMULT(X_,TRANSPOSE(D75:G75))))</f>
        <v>0.13776825214936311</v>
      </c>
      <c r="E76" s="76">
        <f ca="1"/>
        <v>0.88891995412391145</v>
      </c>
      <c r="F76" s="76">
        <f ca="1"/>
        <v>0.2512078898803039</v>
      </c>
      <c r="G76" s="76">
        <f ca="1"/>
        <v>0.3696281429016729</v>
      </c>
      <c r="H76" s="76"/>
      <c r="I76" s="76"/>
      <c r="J76" s="77"/>
      <c r="K76" s="75">
        <f t="array" aca="1" ref="K76:M76" ca="1">TRANSPOSE(TRANSPOSE(K75:M75)+etaN*MMULT(TRANSPOSE(X),t-MMULT(X,TRANSPOSE(K75:M75))))</f>
        <v>0.17081223554962319</v>
      </c>
      <c r="L76" s="76">
        <f ca="1"/>
        <v>1.0201114616487021</v>
      </c>
      <c r="M76" s="76">
        <f ca="1"/>
        <v>0.28218297989773539</v>
      </c>
      <c r="N76" s="76"/>
      <c r="O76" s="76"/>
      <c r="P76" s="77"/>
      <c r="Q76" s="76"/>
      <c r="R76" s="77"/>
      <c r="S76" s="76"/>
      <c r="T76" s="75"/>
      <c r="U76" s="75">
        <f t="array" aca="1" ref="U76:X76" ca="1">TRANSPOSE(TRANSPOSE(U75:X75)+etaN*MMULT(TRANSPOSE(F),t-MMULT(F,TRANSPOSE(U75:X75))))</f>
        <v>8.5523808741576751E-2</v>
      </c>
      <c r="V76" s="76">
        <f ca="1"/>
        <v>0.46186790052473453</v>
      </c>
      <c r="W76" s="76">
        <f ca="1"/>
        <v>0.12345663082567114</v>
      </c>
      <c r="X76" s="76">
        <f ca="1"/>
        <v>0.69351367106889938</v>
      </c>
      <c r="Y76" s="5"/>
      <c r="Z76" s="5"/>
      <c r="AA76" s="13"/>
      <c r="AB76" s="14"/>
      <c r="AC76" s="14"/>
      <c r="AD76" s="14"/>
      <c r="AE76" s="14"/>
      <c r="AF76" s="14"/>
      <c r="AG76" s="14"/>
      <c r="AH76" s="19"/>
    </row>
    <row r="77" spans="3:45" ht="15" customHeight="1" x14ac:dyDescent="0.2">
      <c r="C77" s="6">
        <v>33</v>
      </c>
      <c r="D77" s="75">
        <f t="array" aca="1" ref="D77:G77" ca="1">TRANSPOSE(TRANSPOSE(D76:G76)+etaN*MMULT(TRANSPOSE(X_),t-MMULT(X_,TRANSPOSE(D76:G76))))</f>
        <v>0.13777210908403087</v>
      </c>
      <c r="E77" s="76">
        <f ca="1"/>
        <v>0.89112945404197774</v>
      </c>
      <c r="F77" s="76">
        <f ca="1"/>
        <v>0.25504485851460956</v>
      </c>
      <c r="G77" s="76">
        <f ca="1"/>
        <v>0.36959545884631118</v>
      </c>
      <c r="H77" s="76"/>
      <c r="I77" s="76"/>
      <c r="J77" s="77"/>
      <c r="K77" s="75">
        <f t="array" aca="1" ref="K77:M77" ca="1">TRANSPOSE(TRANSPOSE(K76:M76)+etaN*MMULT(TRANSPOSE(X),t-MMULT(X,TRANSPOSE(K76:M76))))</f>
        <v>0.17153240332551153</v>
      </c>
      <c r="L77" s="76">
        <f ca="1"/>
        <v>1.0237396360761406</v>
      </c>
      <c r="M77" s="76">
        <f ca="1"/>
        <v>0.28667898992048418</v>
      </c>
      <c r="N77" s="76"/>
      <c r="O77" s="76"/>
      <c r="P77" s="77"/>
      <c r="Q77" s="76"/>
      <c r="R77" s="77"/>
      <c r="S77" s="76"/>
      <c r="T77" s="75"/>
      <c r="U77" s="75">
        <f t="array" aca="1" ref="U77:X77" ca="1">TRANSPOSE(TRANSPOSE(U76:X76)+etaN*MMULT(TRANSPOSE(F),t-MMULT(F,TRANSPOSE(U76:X76))))</f>
        <v>8.5517421180655445E-2</v>
      </c>
      <c r="V77" s="76">
        <f ca="1"/>
        <v>0.45939167263136643</v>
      </c>
      <c r="W77" s="76">
        <f ca="1"/>
        <v>0.12422017052594925</v>
      </c>
      <c r="X77" s="76">
        <f ca="1"/>
        <v>0.69592556804856365</v>
      </c>
      <c r="Y77" s="5"/>
      <c r="Z77" s="5"/>
      <c r="AA77" s="13"/>
      <c r="AB77" s="14"/>
      <c r="AC77" s="14"/>
      <c r="AD77" s="14"/>
      <c r="AE77" s="14"/>
      <c r="AF77" s="14"/>
      <c r="AG77" s="14"/>
      <c r="AH77" s="19"/>
    </row>
    <row r="78" spans="3:45" ht="15" customHeight="1" x14ac:dyDescent="0.2">
      <c r="C78" s="6">
        <v>34</v>
      </c>
      <c r="D78" s="75">
        <f t="array" aca="1" ref="D78:G78" ca="1">TRANSPOSE(TRANSPOSE(D77:G77)+etaN*MMULT(TRANSPOSE(X_),t-MMULT(X_,TRANSPOSE(D77:G77))))</f>
        <v>0.13773200068391012</v>
      </c>
      <c r="E78" s="76">
        <f ca="1"/>
        <v>0.89307695039056123</v>
      </c>
      <c r="F78" s="76">
        <f ca="1"/>
        <v>0.25883675878771034</v>
      </c>
      <c r="G78" s="76">
        <f ca="1"/>
        <v>0.36944702130208312</v>
      </c>
      <c r="H78" s="76"/>
      <c r="I78" s="76"/>
      <c r="J78" s="77"/>
      <c r="K78" s="75">
        <f t="array" aca="1" ref="K78:M78" ca="1">TRANSPOSE(TRANSPOSE(K77:M77)+etaN*MMULT(TRANSPOSE(X),t-MMULT(X,TRANSPOSE(K77:M77))))</f>
        <v>0.17218283282965352</v>
      </c>
      <c r="L78" s="76">
        <f ca="1"/>
        <v>1.0269503588904916</v>
      </c>
      <c r="M78" s="76">
        <f ca="1"/>
        <v>0.29110508609251956</v>
      </c>
      <c r="N78" s="76"/>
      <c r="O78" s="76"/>
      <c r="P78" s="77"/>
      <c r="Q78" s="76"/>
      <c r="R78" s="77"/>
      <c r="S78" s="76"/>
      <c r="T78" s="75"/>
      <c r="U78" s="75">
        <f t="array" aca="1" ref="U78:X78" ca="1">TRANSPOSE(TRANSPOSE(U77:X77)+etaN*MMULT(TRANSPOSE(F),t-MMULT(F,TRANSPOSE(U77:X77))))</f>
        <v>8.551209598768171E-2</v>
      </c>
      <c r="V78" s="76">
        <f ca="1"/>
        <v>0.45692149391753001</v>
      </c>
      <c r="W78" s="76">
        <f ca="1"/>
        <v>0.12497283534485763</v>
      </c>
      <c r="X78" s="76">
        <f ca="1"/>
        <v>0.69827739194140648</v>
      </c>
      <c r="Y78" s="5"/>
      <c r="Z78" s="5"/>
      <c r="AA78" s="13"/>
      <c r="AB78" s="14"/>
      <c r="AC78" s="14"/>
      <c r="AD78" s="14"/>
      <c r="AE78" s="14"/>
      <c r="AF78" s="14"/>
      <c r="AG78" s="14"/>
      <c r="AH78" s="19"/>
    </row>
    <row r="79" spans="3:45" ht="15" customHeight="1" x14ac:dyDescent="0.2">
      <c r="C79" s="6">
        <v>35</v>
      </c>
      <c r="D79" s="75">
        <f t="array" aca="1" ref="D79:G79" ca="1">TRANSPOSE(TRANSPOSE(D78:G78)+etaN*MMULT(TRANSPOSE(X_),t-MMULT(X_,TRANSPOSE(D78:G78))))</f>
        <v>0.13765306740966002</v>
      </c>
      <c r="E79" s="76">
        <f ca="1"/>
        <v>0.89479309269174379</v>
      </c>
      <c r="F79" s="76">
        <f ca="1"/>
        <v>0.26258847032653299</v>
      </c>
      <c r="G79" s="76">
        <f ca="1"/>
        <v>0.3691967229747205</v>
      </c>
      <c r="H79" s="76"/>
      <c r="I79" s="76"/>
      <c r="J79" s="77"/>
      <c r="K79" s="75">
        <f t="array" aca="1" ref="K79:M79" ca="1">TRANSPOSE(TRANSPOSE(K78:M78)+etaN*MMULT(TRANSPOSE(X),t-MMULT(X,TRANSPOSE(K78:M78))))</f>
        <v>0.17277026464596085</v>
      </c>
      <c r="L79" s="76">
        <f ca="1"/>
        <v>1.0297850769175443</v>
      </c>
      <c r="M79" s="76">
        <f ca="1"/>
        <v>0.29546767110365768</v>
      </c>
      <c r="N79" s="76"/>
      <c r="O79" s="76"/>
      <c r="P79" s="77"/>
      <c r="Q79" s="76"/>
      <c r="R79" s="77"/>
      <c r="S79" s="76"/>
      <c r="T79" s="75"/>
      <c r="U79" s="75">
        <f t="array" aca="1" ref="U79:X79" ca="1">TRANSPOSE(TRANSPOSE(U78:X78)+etaN*MMULT(TRANSPOSE(F),t-MMULT(F,TRANSPOSE(U78:X78))))</f>
        <v>8.5508625763503099E-2</v>
      </c>
      <c r="V79" s="76">
        <f ca="1"/>
        <v>0.45446233263033009</v>
      </c>
      <c r="W79" s="76">
        <f ca="1"/>
        <v>0.12571565832953593</v>
      </c>
      <c r="X79" s="76">
        <f ca="1"/>
        <v>0.70057547948671572</v>
      </c>
      <c r="Y79" s="5"/>
      <c r="Z79" s="5"/>
      <c r="AA79" s="13"/>
      <c r="AB79" s="14"/>
      <c r="AC79" s="14"/>
      <c r="AD79" s="14"/>
      <c r="AE79" s="14"/>
      <c r="AF79" s="14"/>
      <c r="AG79" s="14"/>
      <c r="AH79" s="19"/>
    </row>
    <row r="80" spans="3:45" ht="15" customHeight="1" x14ac:dyDescent="0.2">
      <c r="C80" s="6">
        <v>36</v>
      </c>
      <c r="D80" s="75">
        <f t="array" aca="1" ref="D80:G80" ca="1">TRANSPOSE(TRANSPOSE(D79:G79)+etaN*MMULT(TRANSPOSE(X_),t-MMULT(X_,TRANSPOSE(D79:G79))))</f>
        <v>0.1375398467307149</v>
      </c>
      <c r="E80" s="76">
        <f ca="1"/>
        <v>0.89630493666199595</v>
      </c>
      <c r="F80" s="76">
        <f ca="1"/>
        <v>0.26630430074652511</v>
      </c>
      <c r="G80" s="76">
        <f ca="1"/>
        <v>0.36885682590340874</v>
      </c>
      <c r="H80" s="76"/>
      <c r="I80" s="76"/>
      <c r="J80" s="77"/>
      <c r="K80" s="75">
        <f t="array" aca="1" ref="K80:M80" ca="1">TRANSPOSE(TRANSPOSE(K79:M79)+etaN*MMULT(TRANSPOSE(X),t-MMULT(X,TRANSPOSE(K79:M79))))</f>
        <v>0.17330077216538387</v>
      </c>
      <c r="L80" s="76">
        <f ca="1"/>
        <v>1.032281132393835</v>
      </c>
      <c r="M80" s="76">
        <f ca="1"/>
        <v>0.29977251439311975</v>
      </c>
      <c r="N80" s="76"/>
      <c r="O80" s="76"/>
      <c r="P80" s="77"/>
      <c r="Q80" s="76"/>
      <c r="R80" s="77"/>
      <c r="S80" s="76"/>
      <c r="T80" s="75"/>
      <c r="U80" s="75">
        <f t="array" aca="1" ref="U80:X80" ca="1">TRANSPOSE(TRANSPOSE(U79:X79)+etaN*MMULT(TRANSPOSE(F),t-MMULT(F,TRANSPOSE(U79:X79))))</f>
        <v>8.5507632000720493E-2</v>
      </c>
      <c r="V80" s="76">
        <f ca="1"/>
        <v>0.45201809183330754</v>
      </c>
      <c r="W80" s="76">
        <f ca="1"/>
        <v>0.12644948143618803</v>
      </c>
      <c r="X80" s="76">
        <f ca="1"/>
        <v>0.70282498419305739</v>
      </c>
      <c r="Y80" s="5"/>
      <c r="Z80" s="5"/>
      <c r="AA80" s="13"/>
      <c r="AB80" s="14"/>
      <c r="AC80" s="14"/>
      <c r="AD80" s="14"/>
      <c r="AE80" s="14"/>
      <c r="AF80" s="14"/>
      <c r="AG80" s="14"/>
      <c r="AH80" s="19"/>
    </row>
    <row r="81" spans="3:34" ht="15" customHeight="1" x14ac:dyDescent="0.2">
      <c r="C81" s="6">
        <v>37</v>
      </c>
      <c r="D81" s="75">
        <f t="array" aca="1" ref="D81:G81" ca="1">TRANSPOSE(TRANSPOSE(D80:G80)+etaN*MMULT(TRANSPOSE(X_),t-MMULT(X_,TRANSPOSE(D80:G80))))</f>
        <v>0.13739634384241134</v>
      </c>
      <c r="E81" s="76">
        <f ca="1"/>
        <v>0.89763636567197547</v>
      </c>
      <c r="F81" s="76">
        <f ca="1"/>
        <v>0.26998805273536164</v>
      </c>
      <c r="G81" s="76">
        <f ca="1"/>
        <v>0.36843815270533581</v>
      </c>
      <c r="H81" s="76"/>
      <c r="I81" s="76"/>
      <c r="J81" s="77"/>
      <c r="K81" s="75">
        <f t="array" aca="1" ref="K81:M81" ca="1">TRANSPOSE(TRANSPOSE(K80:M80)+etaN*MMULT(TRANSPOSE(X),t-MMULT(X,TRANSPOSE(K80:M80))))</f>
        <v>0.17377982765647443</v>
      </c>
      <c r="L81" s="76">
        <f ca="1"/>
        <v>1.0344721694380155</v>
      </c>
      <c r="M81" s="76">
        <f ca="1"/>
        <v>0.30402481485810268</v>
      </c>
      <c r="N81" s="76"/>
      <c r="O81" s="76"/>
      <c r="P81" s="77"/>
      <c r="Q81" s="76"/>
      <c r="R81" s="77"/>
      <c r="S81" s="76"/>
      <c r="T81" s="75"/>
      <c r="U81" s="75">
        <f t="array" aca="1" ref="U81:X81" ca="1">TRANSPOSE(TRANSPOSE(U80:X80)+etaN*MMULT(TRANSPOSE(F),t-MMULT(F,TRANSPOSE(U80:X80))))</f>
        <v>8.5509599185309329E-2</v>
      </c>
      <c r="V81" s="76">
        <f ca="1"/>
        <v>0.44959182160137912</v>
      </c>
      <c r="W81" s="76">
        <f ca="1"/>
        <v>0.12717499323163139</v>
      </c>
      <c r="X81" s="76">
        <f ca="1"/>
        <v>0.70503010993339943</v>
      </c>
      <c r="Y81" s="5"/>
      <c r="Z81" s="5"/>
      <c r="AA81" s="13"/>
      <c r="AB81" s="14"/>
      <c r="AC81" s="14"/>
      <c r="AD81" s="14"/>
      <c r="AE81" s="14"/>
      <c r="AF81" s="14"/>
      <c r="AG81" s="14"/>
      <c r="AH81" s="19"/>
    </row>
    <row r="82" spans="3:34" ht="15" customHeight="1" x14ac:dyDescent="0.2">
      <c r="C82" s="6">
        <v>38</v>
      </c>
      <c r="D82" s="75">
        <f t="array" aca="1" ref="D82:G82" ca="1">TRANSPOSE(TRANSPOSE(D81:G81)+etaN*MMULT(TRANSPOSE(X_),t-MMULT(X_,TRANSPOSE(D81:G81))))</f>
        <v>0.13722609408975048</v>
      </c>
      <c r="E82" s="76">
        <f ca="1"/>
        <v>0.89880846277962245</v>
      </c>
      <c r="F82" s="76">
        <f ca="1"/>
        <v>0.27364308326939557</v>
      </c>
      <c r="G82" s="76">
        <f ca="1"/>
        <v>0.36795025539197374</v>
      </c>
      <c r="H82" s="76"/>
      <c r="I82" s="76"/>
      <c r="J82" s="77"/>
      <c r="K82" s="75">
        <f t="array" aca="1" ref="K82:M82" ca="1">TRANSPOSE(TRANSPOSE(K81:M81)+etaN*MMULT(TRANSPOSE(X),t-MMULT(X,TRANSPOSE(K81:M81))))</f>
        <v>0.17421236179308461</v>
      </c>
      <c r="L82" s="76">
        <f ca="1"/>
        <v>1.0363885002699933</v>
      </c>
      <c r="M82" s="76">
        <f ca="1"/>
        <v>0.30822925735241896</v>
      </c>
      <c r="N82" s="76"/>
      <c r="O82" s="76"/>
      <c r="P82" s="77"/>
      <c r="Q82" s="76"/>
      <c r="R82" s="77"/>
      <c r="S82" s="76"/>
      <c r="T82" s="75"/>
      <c r="U82" s="75">
        <f t="array" aca="1" ref="U82:X82" ca="1">TRANSPOSE(TRANSPOSE(U81:X81)+etaN*MMULT(TRANSPOSE(F),t-MMULT(F,TRANSPOSE(U81:X81))))</f>
        <v>8.5514902136036297E-2</v>
      </c>
      <c r="V82" s="76">
        <f ca="1"/>
        <v>0.44718588913966989</v>
      </c>
      <c r="W82" s="76">
        <f ca="1"/>
        <v>0.12789275912375789</v>
      </c>
      <c r="X82" s="76">
        <f ca="1"/>
        <v>0.70719429824816682</v>
      </c>
      <c r="Y82" s="5"/>
      <c r="Z82" s="5"/>
      <c r="AA82" s="13"/>
      <c r="AB82" s="14"/>
      <c r="AC82" s="14"/>
      <c r="AD82" s="14"/>
      <c r="AE82" s="14"/>
      <c r="AF82" s="14"/>
      <c r="AG82" s="14"/>
      <c r="AH82" s="19"/>
    </row>
    <row r="83" spans="3:34" ht="15" customHeight="1" x14ac:dyDescent="0.2">
      <c r="C83" s="6">
        <v>39</v>
      </c>
      <c r="D83" s="75">
        <f t="array" aca="1" ref="D83:G83" ca="1">TRANSPOSE(TRANSPOSE(D82:G82)+etaN*MMULT(TRANSPOSE(X_),t-MMULT(X_,TRANSPOSE(D82:G82))))</f>
        <v>0.13703221807040084</v>
      </c>
      <c r="E83" s="76">
        <f ca="1"/>
        <v>0.89983983913307142</v>
      </c>
      <c r="F83" s="76">
        <f ca="1"/>
        <v>0.27727235588548571</v>
      </c>
      <c r="G83" s="76">
        <f ca="1"/>
        <v>0.36740156438736987</v>
      </c>
      <c r="H83" s="76"/>
      <c r="I83" s="76"/>
      <c r="J83" s="77"/>
      <c r="K83" s="75">
        <f t="array" aca="1" ref="K83:M83" ca="1">TRANSPOSE(TRANSPOSE(K82:M82)+etaN*MMULT(TRANSPOSE(X),t-MMULT(X,TRANSPOSE(K82:M82))))</f>
        <v>0.17460281728713065</v>
      </c>
      <c r="L83" s="76">
        <f ca="1"/>
        <v>1.0380574351639607</v>
      </c>
      <c r="M83" s="76">
        <f ca="1"/>
        <v>0.31239006359016658</v>
      </c>
      <c r="N83" s="76"/>
      <c r="O83" s="76"/>
      <c r="P83" s="77"/>
      <c r="Q83" s="76"/>
      <c r="R83" s="77"/>
      <c r="S83" s="76"/>
      <c r="T83" s="75"/>
      <c r="U83" s="75">
        <f t="array" aca="1" ref="U83:X83" ca="1">TRANSPOSE(TRANSPOSE(U82:X82)+etaN*MMULT(TRANSPOSE(F),t-MMULT(F,TRANSPOSE(U82:X82))))</f>
        <v>8.5523827922143372E-2</v>
      </c>
      <c r="V83" s="76">
        <f ca="1"/>
        <v>0.44480211516696916</v>
      </c>
      <c r="W83" s="76">
        <f ca="1"/>
        <v>0.12860324560183539</v>
      </c>
      <c r="X83" s="76">
        <f ca="1"/>
        <v>0.70932037853232999</v>
      </c>
      <c r="Y83" s="5"/>
      <c r="Z83" s="5"/>
      <c r="AA83" s="13"/>
      <c r="AB83" s="14"/>
      <c r="AC83" s="14"/>
      <c r="AD83" s="14"/>
      <c r="AE83" s="14"/>
      <c r="AF83" s="14"/>
      <c r="AG83" s="14"/>
      <c r="AH83" s="19"/>
    </row>
    <row r="84" spans="3:34" ht="15" customHeight="1" x14ac:dyDescent="0.2">
      <c r="C84" s="6">
        <v>40</v>
      </c>
      <c r="D84" s="75">
        <f t="array" aca="1" ref="D84:G84" ca="1">TRANSPOSE(TRANSPOSE(D83:G83)+etaN*MMULT(TRANSPOSE(X_),t-MMULT(X_,TRANSPOSE(D83:G83))))</f>
        <v>0.13681747027548399</v>
      </c>
      <c r="E84" s="76">
        <f ca="1"/>
        <v>0.90074692386011312</v>
      </c>
      <c r="F84" s="76">
        <f ca="1"/>
        <v>0.28087848682263322</v>
      </c>
      <c r="G84" s="76">
        <f ca="1"/>
        <v>0.3667995200702589</v>
      </c>
      <c r="H84" s="76"/>
      <c r="I84" s="76"/>
      <c r="J84" s="77"/>
      <c r="K84" s="75">
        <f t="array" aca="1" ref="K84:M84" ca="1">TRANSPOSE(TRANSPOSE(K83:M83)+etaN*MMULT(TRANSPOSE(X),t-MMULT(X,TRANSPOSE(K83:M83))))</f>
        <v>0.17495519721018862</v>
      </c>
      <c r="L84" s="76">
        <f ca="1"/>
        <v>1.0395035797266858</v>
      </c>
      <c r="M84" s="76">
        <f ca="1"/>
        <v>0.31651103800848918</v>
      </c>
      <c r="N84" s="76"/>
      <c r="O84" s="76"/>
      <c r="P84" s="77"/>
      <c r="Q84" s="76"/>
      <c r="R84" s="77"/>
      <c r="S84" s="76"/>
      <c r="T84" s="75"/>
      <c r="U84" s="75">
        <f t="array" aca="1" ref="U84:X84" ca="1">TRANSPOSE(TRANSPOSE(U83:X83)+etaN*MMULT(TRANSPOSE(F),t-MMULT(F,TRANSPOSE(U83:X83))))</f>
        <v>8.5536593434055133E-2</v>
      </c>
      <c r="V84" s="76">
        <f ca="1"/>
        <v>0.44244188325119399</v>
      </c>
      <c r="W84" s="76">
        <f ca="1"/>
        <v>0.12930683967402204</v>
      </c>
      <c r="X84" s="76">
        <f ca="1"/>
        <v>0.7114106884636926</v>
      </c>
      <c r="Y84" s="5"/>
      <c r="Z84" s="5"/>
      <c r="AA84" s="13"/>
      <c r="AB84" s="14"/>
      <c r="AC84" s="14"/>
      <c r="AD84" s="14"/>
      <c r="AE84" s="14"/>
      <c r="AF84" s="14"/>
      <c r="AG84" s="14"/>
      <c r="AH84" s="19"/>
    </row>
    <row r="85" spans="3:34" ht="15" customHeight="1" x14ac:dyDescent="0.2">
      <c r="C85" s="6">
        <v>41</v>
      </c>
      <c r="D85" s="75">
        <f t="array" aca="1" ref="D85:G85" ca="1">TRANSPOSE(TRANSPOSE(D84:G84)+etaN*MMULT(TRANSPOSE(X_),t-MMULT(X_,TRANSPOSE(D84:G84))))</f>
        <v>0.13658428202600043</v>
      </c>
      <c r="E85" s="76">
        <f ca="1"/>
        <v>0.90154421996087364</v>
      </c>
      <c r="F85" s="76">
        <f ca="1"/>
        <v>0.28446378575234538</v>
      </c>
      <c r="G85" s="76">
        <f ca="1"/>
        <v>0.36615068888951624</v>
      </c>
      <c r="H85" s="76"/>
      <c r="I85" s="76"/>
      <c r="J85" s="77"/>
      <c r="K85" s="75">
        <f t="array" aca="1" ref="K85:M85" ca="1">TRANSPOSE(TRANSPOSE(K84:M84)+etaN*MMULT(TRANSPOSE(X),t-MMULT(X,TRANSPOSE(K84:M84))))</f>
        <v>0.17527310852987846</v>
      </c>
      <c r="L85" s="76">
        <f ca="1"/>
        <v>1.0407491027367985</v>
      </c>
      <c r="M85" s="76">
        <f ca="1"/>
        <v>0.32059560908862061</v>
      </c>
      <c r="N85" s="76"/>
      <c r="O85" s="76"/>
      <c r="P85" s="77"/>
      <c r="Q85" s="76"/>
      <c r="R85" s="77"/>
      <c r="S85" s="76"/>
      <c r="T85" s="75"/>
      <c r="U85" s="75">
        <f t="array" aca="1" ref="U85:X85" ca="1">TRANSPOSE(TRANSPOSE(U84:X84)+etaN*MMULT(TRANSPOSE(F),t-MMULT(F,TRANSPOSE(U84:X84))))</f>
        <v>8.5553359468820978E-2</v>
      </c>
      <c r="V85" s="76">
        <f ca="1"/>
        <v>0.44010622745863331</v>
      </c>
      <c r="W85" s="76">
        <f ca="1"/>
        <v>0.13000386445409787</v>
      </c>
      <c r="X85" s="76">
        <f ca="1"/>
        <v>0.71346717057117115</v>
      </c>
      <c r="Y85" s="5"/>
      <c r="Z85" s="5"/>
      <c r="AA85" s="13"/>
      <c r="AB85" s="14"/>
      <c r="AC85" s="14"/>
      <c r="AD85" s="14"/>
      <c r="AE85" s="14"/>
      <c r="AF85" s="14"/>
      <c r="AG85" s="14"/>
      <c r="AH85" s="19"/>
    </row>
    <row r="86" spans="3:34" ht="15" customHeight="1" x14ac:dyDescent="0.2">
      <c r="C86" s="6">
        <v>42</v>
      </c>
      <c r="D86" s="75">
        <f t="array" aca="1" ref="D86:G86" ca="1">TRANSPOSE(TRANSPOSE(D85:G85)+etaN*MMULT(TRANSPOSE(X_),t-MMULT(X_,TRANSPOSE(D85:G85))))</f>
        <v>0.13633479937387449</v>
      </c>
      <c r="E86" s="76">
        <f ca="1"/>
        <v>0.90224453019068518</v>
      </c>
      <c r="F86" s="76">
        <f ca="1"/>
        <v>0.28803029173233385</v>
      </c>
      <c r="G86" s="76">
        <f ca="1"/>
        <v>0.36546086586211518</v>
      </c>
      <c r="H86" s="76"/>
      <c r="I86" s="76"/>
      <c r="J86" s="77"/>
      <c r="K86" s="75">
        <f t="array" aca="1" ref="K86:M86" ca="1">TRANSPOSE(TRANSPOSE(K85:M85)+etaN*MMULT(TRANSPOSE(X),t-MMULT(X,TRANSPOSE(K85:M85))))</f>
        <v>0.17555980133490817</v>
      </c>
      <c r="L86" s="76">
        <f ca="1"/>
        <v>1.0418139774603663</v>
      </c>
      <c r="M86" s="76">
        <f ca="1"/>
        <v>0.32464686658497272</v>
      </c>
      <c r="N86" s="76"/>
      <c r="O86" s="76"/>
      <c r="P86" s="77"/>
      <c r="Q86" s="76"/>
      <c r="R86" s="77"/>
      <c r="S86" s="76"/>
      <c r="T86" s="75"/>
      <c r="U86" s="75">
        <f t="array" aca="1" ref="U86:X86" ca="1">TRANSPOSE(TRANSPOSE(U85:X85)+etaN*MMULT(TRANSPOSE(F),t-MMULT(F,TRANSPOSE(U85:X85))))</f>
        <v>8.5574242021190294E-2</v>
      </c>
      <c r="V86" s="76">
        <f ca="1"/>
        <v>0.43779590261590323</v>
      </c>
      <c r="W86" s="76">
        <f ca="1"/>
        <v>0.13069459166070788</v>
      </c>
      <c r="X86" s="76">
        <f ca="1"/>
        <v>0.71549144967256995</v>
      </c>
      <c r="Y86" s="5"/>
      <c r="Z86" s="5"/>
      <c r="AA86" s="13"/>
      <c r="AB86" s="14"/>
      <c r="AC86" s="14"/>
      <c r="AD86" s="14"/>
      <c r="AE86" s="14"/>
      <c r="AF86" s="14"/>
      <c r="AG86" s="14"/>
      <c r="AH86" s="19"/>
    </row>
    <row r="87" spans="3:34" ht="15" customHeight="1" x14ac:dyDescent="0.2">
      <c r="C87" s="6">
        <v>43</v>
      </c>
      <c r="D87" s="75">
        <f t="array" aca="1" ref="D87:G87" ca="1">TRANSPOSE(TRANSPOSE(D86:G86)+etaN*MMULT(TRANSPOSE(X_),t-MMULT(X_,TRANSPOSE(D86:G86))))</f>
        <v>0.1360709165581436</v>
      </c>
      <c r="E87" s="76">
        <f ca="1"/>
        <v>0.90285915645255155</v>
      </c>
      <c r="F87" s="76">
        <f ca="1"/>
        <v>0.29157980494373159</v>
      </c>
      <c r="G87" s="76">
        <f ca="1"/>
        <v>0.36473516505058168</v>
      </c>
      <c r="H87" s="76"/>
      <c r="I87" s="76"/>
      <c r="J87" s="77"/>
      <c r="K87" s="75">
        <f t="array" aca="1" ref="K87:M87" ca="1">TRANSPOSE(TRANSPOSE(K86:M86)+etaN*MMULT(TRANSPOSE(X),t-MMULT(X,TRANSPOSE(K86:M86))))</f>
        <v>0.17581820417572411</v>
      </c>
      <c r="L87" s="76">
        <f ca="1"/>
        <v>1.0427161990693643</v>
      </c>
      <c r="M87" s="76">
        <f ca="1"/>
        <v>0.32866759506748611</v>
      </c>
      <c r="N87" s="76"/>
      <c r="O87" s="76"/>
      <c r="P87" s="77"/>
      <c r="Q87" s="76"/>
      <c r="R87" s="77"/>
      <c r="S87" s="76"/>
      <c r="T87" s="75"/>
      <c r="U87" s="75">
        <f t="array" aca="1" ref="U87:X87" ca="1">TRANSPOSE(TRANSPOSE(U86:X86)+etaN*MMULT(TRANSPOSE(F),t-MMULT(F,TRANSPOSE(U86:X86))))</f>
        <v>8.5599321334264761E-2</v>
      </c>
      <c r="V87" s="76">
        <f ca="1"/>
        <v>0.43551144063138492</v>
      </c>
      <c r="W87" s="76">
        <f ca="1"/>
        <v>0.13137925164110623</v>
      </c>
      <c r="X87" s="76">
        <f ca="1"/>
        <v>0.71748489497384849</v>
      </c>
      <c r="Y87" s="5"/>
      <c r="Z87" s="5"/>
      <c r="AA87" s="13"/>
      <c r="AB87" s="14"/>
      <c r="AC87" s="14"/>
      <c r="AD87" s="14"/>
      <c r="AE87" s="14"/>
      <c r="AF87" s="14"/>
      <c r="AG87" s="14"/>
      <c r="AH87" s="19"/>
    </row>
    <row r="88" spans="3:34" ht="15" customHeight="1" x14ac:dyDescent="0.2">
      <c r="C88" s="6">
        <v>44</v>
      </c>
      <c r="D88" s="75">
        <f t="array" aca="1" ref="D88:G88" ca="1">TRANSPOSE(TRANSPOSE(D87:G87)+etaN*MMULT(TRANSPOSE(X_),t-MMULT(X_,TRANSPOSE(D87:G87))))</f>
        <v>0.13579430553756208</v>
      </c>
      <c r="E88" s="76">
        <f ca="1"/>
        <v>0.90339807580587173</v>
      </c>
      <c r="F88" s="76">
        <f ca="1"/>
        <v>0.29511391470631637</v>
      </c>
      <c r="G88" s="76">
        <f ca="1"/>
        <v>0.36397809942965131</v>
      </c>
      <c r="H88" s="76"/>
      <c r="I88" s="76"/>
      <c r="J88" s="77"/>
      <c r="K88" s="75">
        <f t="array" aca="1" ref="K88:M88" ca="1">TRANSPOSE(TRANSPOSE(K87:M87)+etaN*MMULT(TRANSPOSE(X),t-MMULT(X,TRANSPOSE(K87:M87))))</f>
        <v>0.17605095590543204</v>
      </c>
      <c r="L88" s="76">
        <f ca="1"/>
        <v>1.0434719805295321</v>
      </c>
      <c r="M88" s="76">
        <f ca="1"/>
        <v>0.33266030414233638</v>
      </c>
      <c r="N88" s="76"/>
      <c r="O88" s="76"/>
      <c r="P88" s="77"/>
      <c r="Q88" s="76"/>
      <c r="R88" s="77"/>
      <c r="S88" s="76"/>
      <c r="T88" s="75"/>
      <c r="U88" s="75">
        <f t="array" aca="1" ref="U88:X88" ca="1">TRANSPOSE(TRANSPOSE(U87:X87)+etaN*MMULT(TRANSPOSE(F),t-MMULT(F,TRANSPOSE(U87:X87))))</f>
        <v>8.5628649153865838E-2</v>
      </c>
      <c r="V88" s="76">
        <f ca="1"/>
        <v>0.43325319563967696</v>
      </c>
      <c r="W88" s="76">
        <f ca="1"/>
        <v>0.13205804141008012</v>
      </c>
      <c r="X88" s="76">
        <f ca="1"/>
        <v>0.7194486698702125</v>
      </c>
      <c r="Y88" s="5"/>
      <c r="Z88" s="5"/>
      <c r="AA88" s="13"/>
      <c r="AB88" s="14"/>
      <c r="AC88" s="14"/>
      <c r="AD88" s="14"/>
      <c r="AE88" s="14"/>
      <c r="AF88" s="14"/>
      <c r="AG88" s="14"/>
      <c r="AH88" s="19"/>
    </row>
    <row r="89" spans="3:34" ht="15" customHeight="1" x14ac:dyDescent="0.2">
      <c r="C89" s="6">
        <v>45</v>
      </c>
      <c r="D89" s="75">
        <f t="array" aca="1" ref="D89:G89" ca="1">TRANSPOSE(TRANSPOSE(D88:G88)+etaN*MMULT(TRANSPOSE(X_),t-MMULT(X_,TRANSPOSE(D88:G88))))</f>
        <v>0.13550644205975873</v>
      </c>
      <c r="E89" s="76">
        <f ca="1"/>
        <v>0.90387009583375244</v>
      </c>
      <c r="F89" s="76">
        <f ca="1"/>
        <v>0.29863402420823837</v>
      </c>
      <c r="G89" s="76">
        <f ca="1"/>
        <v>0.36319365138651205</v>
      </c>
      <c r="H89" s="76"/>
      <c r="I89" s="76"/>
      <c r="J89" s="77"/>
      <c r="K89" s="75">
        <f t="array" aca="1" ref="K89:M89" ca="1">TRANSPOSE(TRANSPOSE(K88:M88)+etaN*MMULT(TRANSPOSE(X),t-MMULT(X,TRANSPOSE(K88:M88))))</f>
        <v>0.17626043436756242</v>
      </c>
      <c r="L89" s="76">
        <f ca="1"/>
        <v>1.0440959290897589</v>
      </c>
      <c r="M89" s="76">
        <f ca="1"/>
        <v>0.3366272556799324</v>
      </c>
      <c r="N89" s="76"/>
      <c r="O89" s="76"/>
      <c r="P89" s="77"/>
      <c r="Q89" s="76"/>
      <c r="R89" s="77"/>
      <c r="S89" s="76"/>
      <c r="T89" s="75"/>
      <c r="U89" s="75">
        <f t="array" aca="1" ref="U89:X89" ca="1">TRANSPOSE(TRANSPOSE(U88:X88)+etaN*MMULT(TRANSPOSE(F),t-MMULT(F,TRANSPOSE(U88:X88))))</f>
        <v>8.5662254542715519E-2</v>
      </c>
      <c r="V89" s="76">
        <f ca="1"/>
        <v>0.43102138018478936</v>
      </c>
      <c r="W89" s="76">
        <f ca="1"/>
        <v>0.13273113109746718</v>
      </c>
      <c r="X89" s="76">
        <f ca="1"/>
        <v>0.72138377188668812</v>
      </c>
      <c r="Y89" s="5"/>
      <c r="Z89" s="5"/>
      <c r="AA89" s="13"/>
      <c r="AB89" s="14"/>
      <c r="AC89" s="14"/>
      <c r="AD89" s="14"/>
      <c r="AE89" s="14"/>
      <c r="AF89" s="14"/>
      <c r="AG89" s="14"/>
      <c r="AH89" s="19"/>
    </row>
    <row r="90" spans="3:34" ht="15" customHeight="1" x14ac:dyDescent="0.2">
      <c r="C90" s="6">
        <v>46</v>
      </c>
      <c r="D90" s="75">
        <f t="array" aca="1" ref="D90:G90" ca="1">TRANSPOSE(TRANSPOSE(D89:G89)+etaN*MMULT(TRANSPOSE(X_),t-MMULT(X_,TRANSPOSE(D89:G89))))</f>
        <v>0.13520862867312403</v>
      </c>
      <c r="E90" s="76">
        <f ca="1"/>
        <v>0.9042829917896309</v>
      </c>
      <c r="F90" s="76">
        <f ca="1"/>
        <v>0.30214137233555816</v>
      </c>
      <c r="G90" s="76">
        <f ca="1"/>
        <v>0.36238533495307884</v>
      </c>
      <c r="H90" s="76"/>
      <c r="I90" s="76"/>
      <c r="J90" s="77"/>
      <c r="K90" s="75">
        <f t="array" aca="1" ref="K90:M90" ca="1">TRANSPOSE(TRANSPOSE(K89:M89)+etaN*MMULT(TRANSPOSE(X),t-MMULT(X,TRANSPOSE(K89:M89))))</f>
        <v>0.17644878224293145</v>
      </c>
      <c r="L90" s="76">
        <f ca="1"/>
        <v>1.0446012052940008</v>
      </c>
      <c r="M90" s="76">
        <f ca="1"/>
        <v>0.34057048834657061</v>
      </c>
      <c r="N90" s="76"/>
      <c r="O90" s="76"/>
      <c r="P90" s="77"/>
      <c r="Q90" s="76"/>
      <c r="R90" s="77"/>
      <c r="S90" s="76"/>
      <c r="T90" s="75"/>
      <c r="U90" s="75">
        <f t="array" aca="1" ref="U90:X90" ca="1">TRANSPOSE(TRANSPOSE(U89:X89)+etaN*MMULT(TRANSPOSE(F),t-MMULT(F,TRANSPOSE(U89:X89))))</f>
        <v>8.5700148539940513E-2</v>
      </c>
      <c r="V90" s="76">
        <f ca="1"/>
        <v>0.42881609421859096</v>
      </c>
      <c r="W90" s="76">
        <f ca="1"/>
        <v>0.13339866911969589</v>
      </c>
      <c r="X90" s="76">
        <f ca="1"/>
        <v>0.72329106471263693</v>
      </c>
      <c r="Y90" s="5"/>
      <c r="Z90" s="5"/>
      <c r="AA90" s="13"/>
      <c r="AB90" s="14"/>
      <c r="AC90" s="14"/>
      <c r="AD90" s="14"/>
      <c r="AE90" s="14"/>
      <c r="AF90" s="14"/>
      <c r="AG90" s="14"/>
      <c r="AH90" s="19"/>
    </row>
    <row r="91" spans="3:34" ht="15" customHeight="1" x14ac:dyDescent="0.2">
      <c r="C91" s="6">
        <v>47</v>
      </c>
      <c r="D91" s="75">
        <f t="array" aca="1" ref="D91:G91" ca="1">TRANSPOSE(TRANSPOSE(D90:G90)+etaN*MMULT(TRANSPOSE(X_),t-MMULT(X_,TRANSPOSE(D90:G90))))</f>
        <v>0.13490201503996849</v>
      </c>
      <c r="E91" s="76">
        <f ca="1"/>
        <v>0.90464362766004192</v>
      </c>
      <c r="F91" s="76">
        <f ca="1"/>
        <v>0.3056370529417155</v>
      </c>
      <c r="G91" s="76">
        <f ca="1"/>
        <v>0.36155625073992753</v>
      </c>
      <c r="H91" s="76"/>
      <c r="I91" s="76"/>
      <c r="J91" s="77"/>
      <c r="K91" s="75">
        <f t="array" aca="1" ref="K91:M91" ca="1">TRANSPOSE(TRANSPOSE(K90:M90)+etaN*MMULT(TRANSPOSE(X),t-MMULT(X,TRANSPOSE(K90:M90))))</f>
        <v>0.17661793033692874</v>
      </c>
      <c r="L91" s="76">
        <f ca="1"/>
        <v>1.0449996662464931</v>
      </c>
      <c r="M91" s="76">
        <f ca="1"/>
        <v>0.34449183970675928</v>
      </c>
      <c r="N91" s="76"/>
      <c r="O91" s="76"/>
      <c r="P91" s="77"/>
      <c r="Q91" s="76"/>
      <c r="R91" s="77"/>
      <c r="S91" s="76"/>
      <c r="T91" s="75"/>
      <c r="U91" s="75">
        <f t="array" aca="1" ref="U91:X91" ca="1">TRANSPOSE(TRANSPOSE(U90:X90)+etaN*MMULT(TRANSPOSE(F),t-MMULT(F,TRANSPOSE(U90:X90))))</f>
        <v>8.5742327894814188E-2</v>
      </c>
      <c r="V91" s="76">
        <f ca="1"/>
        <v>0.42663734833887018</v>
      </c>
      <c r="W91" s="76">
        <f ca="1"/>
        <v>0.134060786328253</v>
      </c>
      <c r="X91" s="76">
        <f ca="1"/>
        <v>0.72517130389724815</v>
      </c>
      <c r="Y91" s="5"/>
      <c r="Z91" s="5"/>
      <c r="AA91" s="13"/>
      <c r="AB91" s="14"/>
      <c r="AC91" s="14"/>
      <c r="AD91" s="14"/>
      <c r="AE91" s="14"/>
      <c r="AF91" s="14"/>
      <c r="AG91" s="14"/>
      <c r="AH91" s="19"/>
    </row>
    <row r="92" spans="3:34" ht="15" customHeight="1" x14ac:dyDescent="0.2">
      <c r="C92" s="6">
        <v>48</v>
      </c>
      <c r="D92" s="75">
        <f t="array" aca="1" ref="D92:G92" ca="1">TRANSPOSE(TRANSPOSE(D91:G91)+etaN*MMULT(TRANSPOSE(X_),t-MMULT(X_,TRANSPOSE(D91:G91))))</f>
        <v>0.13458761586744611</v>
      </c>
      <c r="E92" s="76">
        <f ca="1"/>
        <v>0.90495806302976367</v>
      </c>
      <c r="F92" s="76">
        <f ca="1"/>
        <v>0.30912203185716125</v>
      </c>
      <c r="G92" s="76">
        <f ca="1"/>
        <v>0.36070913442780189</v>
      </c>
      <c r="H92" s="76"/>
      <c r="I92" s="76"/>
      <c r="J92" s="77"/>
      <c r="K92" s="75">
        <f t="array" aca="1" ref="K92:M92" ca="1">TRANSPOSE(TRANSPOSE(K91:M91)+etaN*MMULT(TRANSPOSE(X),t-MMULT(X,TRANSPOSE(K91:M91))))</f>
        <v>0.17676961856070164</v>
      </c>
      <c r="L92" s="76">
        <f ca="1"/>
        <v>1.0453019946896316</v>
      </c>
      <c r="M92" s="76">
        <f ca="1"/>
        <v>0.34839296613678622</v>
      </c>
      <c r="N92" s="76"/>
      <c r="O92" s="76"/>
      <c r="P92" s="77"/>
      <c r="Q92" s="76"/>
      <c r="R92" s="77"/>
      <c r="S92" s="76"/>
      <c r="T92" s="75"/>
      <c r="U92" s="75">
        <f t="array" aca="1" ref="U92:X92" ca="1">TRANSPOSE(TRANSPOSE(U91:X91)+etaN*MMULT(TRANSPOSE(F),t-MMULT(F,TRANSPOSE(U91:X91))))</f>
        <v>8.5788778058273743E-2</v>
      </c>
      <c r="V92" s="76">
        <f ca="1"/>
        <v>0.42448508240902288</v>
      </c>
      <c r="W92" s="76">
        <f ca="1"/>
        <v>0.13471759933784994</v>
      </c>
      <c r="X92" s="76">
        <f ca="1"/>
        <v>0.72702515746241791</v>
      </c>
      <c r="Y92" s="5"/>
      <c r="Z92" s="5"/>
      <c r="AA92" s="13"/>
      <c r="AB92" s="14"/>
      <c r="AC92" s="14"/>
      <c r="AD92" s="14"/>
      <c r="AE92" s="14"/>
      <c r="AF92" s="14"/>
      <c r="AG92" s="14"/>
      <c r="AH92" s="19"/>
    </row>
    <row r="93" spans="3:34" ht="15" customHeight="1" x14ac:dyDescent="0.2">
      <c r="C93" s="6">
        <v>49</v>
      </c>
      <c r="D93" s="75">
        <f t="array" aca="1" ref="D93:G93" ca="1">TRANSPOSE(TRANSPOSE(D92:G92)+etaN*MMULT(TRANSPOSE(X_),t-MMULT(X_,TRANSPOSE(D92:G92))))</f>
        <v>0.13426632673561942</v>
      </c>
      <c r="E93" s="76">
        <f ca="1"/>
        <v>0.90523164741436912</v>
      </c>
      <c r="F93" s="76">
        <f ca="1"/>
        <v>0.31259716190417458</v>
      </c>
      <c r="G93" s="76">
        <f ca="1"/>
        <v>0.35984639957222958</v>
      </c>
      <c r="H93" s="76"/>
      <c r="I93" s="76"/>
      <c r="J93" s="77"/>
      <c r="K93" s="75">
        <f t="array" aca="1" ref="K93:M93" ca="1">TRANSPOSE(TRANSPOSE(K92:M92)+etaN*MMULT(TRANSPOSE(X),t-MMULT(X,TRANSPOSE(K92:M92))))</f>
        <v>0.17690541483460656</v>
      </c>
      <c r="L93" s="76">
        <f ca="1"/>
        <v>1.045517815299472</v>
      </c>
      <c r="M93" s="76">
        <f ca="1"/>
        <v>0.35227536076627863</v>
      </c>
      <c r="N93" s="76"/>
      <c r="O93" s="76"/>
      <c r="P93" s="77"/>
      <c r="Q93" s="76"/>
      <c r="R93" s="77"/>
      <c r="S93" s="76"/>
      <c r="T93" s="75"/>
      <c r="U93" s="75">
        <f t="array" aca="1" ref="U93:X93" ca="1">TRANSPOSE(TRANSPOSE(U92:X92)+etaN*MMULT(TRANSPOSE(F),t-MMULT(F,TRANSPOSE(U92:X92))))</f>
        <v>8.5839475579367691E-2</v>
      </c>
      <c r="V93" s="76">
        <f ca="1"/>
        <v>0.42235918047500209</v>
      </c>
      <c r="W93" s="76">
        <f ca="1"/>
        <v>0.13536921319686634</v>
      </c>
      <c r="X93" s="76">
        <f ca="1"/>
        <v>0.7288532224403772</v>
      </c>
      <c r="Y93" s="5"/>
      <c r="Z93" s="5"/>
      <c r="AA93" s="13"/>
      <c r="AB93" s="14"/>
      <c r="AC93" s="14"/>
      <c r="AD93" s="14"/>
      <c r="AE93" s="14"/>
      <c r="AF93" s="14"/>
      <c r="AG93" s="14"/>
      <c r="AH93" s="19"/>
    </row>
    <row r="94" spans="3:34" ht="15" customHeight="1" x14ac:dyDescent="0.2">
      <c r="C94" s="6">
        <v>50</v>
      </c>
      <c r="D94" s="75">
        <f t="array" aca="1" ref="D94:G94" ca="1">TRANSPOSE(TRANSPOSE(D93:G93)+etaN*MMULT(TRANSPOSE(X_),t-MMULT(X_,TRANSPOSE(D93:G93))))</f>
        <v>0.13393893806927928</v>
      </c>
      <c r="E94" s="76">
        <f ca="1"/>
        <v>0.90546910352994414</v>
      </c>
      <c r="F94" s="76">
        <f ca="1"/>
        <v>0.31606319615080836</v>
      </c>
      <c r="G94" s="76">
        <f ca="1"/>
        <v>0.35897017538817849</v>
      </c>
      <c r="H94" s="76"/>
      <c r="I94" s="76"/>
      <c r="J94" s="77"/>
      <c r="K94" s="75">
        <f t="array" aca="1" ref="K94:M94" ca="1">TRANSPOSE(TRANSPOSE(K93:M93)+etaN*MMULT(TRANSPOSE(X),t-MMULT(X,TRANSPOSE(K93:M93))))</f>
        <v>0.17702673211968153</v>
      </c>
      <c r="L94" s="76">
        <f ca="1"/>
        <v>1.0456557994646656</v>
      </c>
      <c r="M94" s="76">
        <f ca="1"/>
        <v>0.35614036964304019</v>
      </c>
      <c r="N94" s="76"/>
      <c r="O94" s="76"/>
      <c r="P94" s="77"/>
      <c r="Q94" s="76"/>
      <c r="R94" s="77"/>
      <c r="S94" s="76"/>
      <c r="T94" s="75"/>
      <c r="U94" s="75">
        <f t="array" aca="1" ref="U94:X94" ca="1">TRANSPOSE(TRANSPOSE(U93:X93)+etaN*MMULT(TRANSPOSE(F),t-MMULT(F,TRANSPOSE(U93:X93))))</f>
        <v>8.5894390024618836E-2</v>
      </c>
      <c r="V94" s="76">
        <f ca="1"/>
        <v>0.4202594827136617</v>
      </c>
      <c r="W94" s="76">
        <f ca="1"/>
        <v>0.13601572353042191</v>
      </c>
      <c r="X94" s="76">
        <f ca="1"/>
        <v>0.73065603814374691</v>
      </c>
      <c r="Y94" s="5"/>
      <c r="Z94" s="5"/>
      <c r="AA94" s="13"/>
      <c r="AB94" s="14"/>
      <c r="AC94" s="14"/>
      <c r="AD94" s="14"/>
      <c r="AE94" s="14"/>
      <c r="AF94" s="14"/>
      <c r="AG94" s="14"/>
      <c r="AH94" s="19"/>
    </row>
    <row r="95" spans="3:34" ht="15" customHeight="1" x14ac:dyDescent="0.2">
      <c r="C95" s="6">
        <v>51</v>
      </c>
      <c r="D95" s="75">
        <f t="array" aca="1" ref="D95:G95" ca="1">TRANSPOSE(TRANSPOSE(D94:G94)+etaN*MMULT(TRANSPOSE(X_),t-MMULT(X_,TRANSPOSE(D94:G94))))</f>
        <v>0.13360614747121069</v>
      </c>
      <c r="E95" s="76">
        <f ca="1"/>
        <v>0.9056746007973665</v>
      </c>
      <c r="F95" s="76">
        <f ca="1"/>
        <v>0.3195207996104682</v>
      </c>
      <c r="G95" s="76">
        <f ca="1"/>
        <v>0.35808234010346945</v>
      </c>
      <c r="H95" s="76"/>
      <c r="I95" s="76"/>
      <c r="J95" s="77"/>
      <c r="K95" s="75">
        <f t="array" aca="1" ref="K95:M95" ca="1">TRANSPOSE(TRANSPOSE(K94:M94)+etaN*MMULT(TRANSPOSE(X),t-MMULT(X,TRANSPOSE(K94:M94))))</f>
        <v>0.17713484376251945</v>
      </c>
      <c r="L95" s="76">
        <f ca="1"/>
        <v>1.0457237596893001</v>
      </c>
      <c r="M95" s="76">
        <f ca="1"/>
        <v>0.35998920629711123</v>
      </c>
      <c r="N95" s="76"/>
      <c r="O95" s="76"/>
      <c r="P95" s="77"/>
      <c r="Q95" s="76"/>
      <c r="R95" s="77"/>
      <c r="S95" s="76"/>
      <c r="T95" s="75"/>
      <c r="U95" s="75">
        <f t="array" aca="1" ref="U95:X95" ca="1">TRANSPOSE(TRANSPOSE(U94:X94)+etaN*MMULT(TRANSPOSE(F),t-MMULT(F,TRANSPOSE(U94:X94))))</f>
        <v>8.5953485514899577E-2</v>
      </c>
      <c r="V95" s="76">
        <f ca="1"/>
        <v>0.41818579500109893</v>
      </c>
      <c r="W95" s="76">
        <f ca="1"/>
        <v>0.13665721826058902</v>
      </c>
      <c r="X95" s="76">
        <f ca="1"/>
        <v>0.73243409681559668</v>
      </c>
      <c r="Y95" s="5"/>
      <c r="Z95" s="5"/>
      <c r="AA95" s="13"/>
      <c r="AB95" s="14"/>
      <c r="AC95" s="14"/>
      <c r="AD95" s="14"/>
      <c r="AE95" s="14"/>
      <c r="AF95" s="14"/>
      <c r="AG95" s="14"/>
      <c r="AH95" s="19"/>
    </row>
    <row r="96" spans="3:34" ht="15" customHeight="1" x14ac:dyDescent="0.2">
      <c r="C96" s="6">
        <v>52</v>
      </c>
      <c r="D96" s="75">
        <f t="array" aca="1" ref="D96:G96" ca="1">TRANSPOSE(TRANSPOSE(D95:G95)+etaN*MMULT(TRANSPOSE(X_),t-MMULT(X_,TRANSPOSE(D95:G95))))</f>
        <v>0.13326857060906616</v>
      </c>
      <c r="E96" s="76">
        <f ca="1"/>
        <v>0.90585182022638833</v>
      </c>
      <c r="F96" s="76">
        <f ca="1"/>
        <v>0.32297055956941451</v>
      </c>
      <c r="G96" s="76">
        <f ca="1"/>
        <v>0.35718455040062014</v>
      </c>
      <c r="H96" s="76"/>
      <c r="I96" s="76"/>
      <c r="J96" s="77"/>
      <c r="K96" s="75">
        <f t="array" aca="1" ref="K96:M96" ca="1">TRANSPOSE(TRANSPOSE(K95:M95)+etaN*MMULT(TRANSPOSE(X),t-MMULT(X,TRANSPOSE(K95:M95))))</f>
        <v>0.17723089732056307</v>
      </c>
      <c r="L96" s="76">
        <f ca="1"/>
        <v>1.0457287346471731</v>
      </c>
      <c r="M96" s="76">
        <f ca="1"/>
        <v>0.36382296486257493</v>
      </c>
      <c r="N96" s="76"/>
      <c r="O96" s="76"/>
      <c r="P96" s="77"/>
      <c r="Q96" s="76"/>
      <c r="R96" s="77"/>
      <c r="S96" s="76"/>
      <c r="T96" s="75"/>
      <c r="U96" s="75">
        <f t="array" aca="1" ref="U96:X96" ca="1">TRANSPOSE(TRANSPOSE(U95:X95)+etaN*MMULT(TRANSPOSE(F),t-MMULT(F,TRANSPOSE(U95:X95))))</f>
        <v>8.6016721955664746E-2</v>
      </c>
      <c r="V96" s="76">
        <f ca="1"/>
        <v>0.41613789657292322</v>
      </c>
      <c r="W96" s="76">
        <f ca="1"/>
        <v>0.13729377898754253</v>
      </c>
      <c r="X96" s="76">
        <f ca="1"/>
        <v>0.73418785217872096</v>
      </c>
      <c r="Y96" s="5"/>
      <c r="Z96" s="5"/>
      <c r="AA96" s="13"/>
      <c r="AB96" s="14"/>
      <c r="AC96" s="14"/>
      <c r="AD96" s="14"/>
      <c r="AE96" s="14"/>
      <c r="AF96" s="14"/>
      <c r="AG96" s="14"/>
      <c r="AH96" s="19"/>
    </row>
    <row r="97" spans="3:34" ht="15" customHeight="1" x14ac:dyDescent="0.2">
      <c r="C97" s="6">
        <v>53</v>
      </c>
      <c r="D97" s="75">
        <f t="array" aca="1" ref="D97:G97" ca="1">TRANSPOSE(TRANSPOSE(D96:G96)+etaN*MMULT(TRANSPOSE(X_),t-MMULT(X_,TRANSPOSE(D96:G96))))</f>
        <v>0.13292675082547256</v>
      </c>
      <c r="E97" s="76">
        <f ca="1"/>
        <v>0.90600401169045586</v>
      </c>
      <c r="F97" s="76">
        <f ca="1"/>
        <v>0.32641299470309731</v>
      </c>
      <c r="G97" s="76">
        <f ca="1"/>
        <v>0.35627826740585017</v>
      </c>
      <c r="H97" s="76"/>
      <c r="I97" s="76"/>
      <c r="J97" s="77"/>
      <c r="K97" s="75">
        <f t="array" aca="1" ref="K97:M97" ca="1">TRANSPOSE(TRANSPOSE(K96:M96)+etaN*MMULT(TRANSPOSE(X),t-MMULT(X,TRANSPOSE(K96:M96))))</f>
        <v>0.17731592701830345</v>
      </c>
      <c r="L97" s="76">
        <f ca="1"/>
        <v>1.045677065813273</v>
      </c>
      <c r="M97" s="76">
        <f ca="1"/>
        <v>0.36764263189993296</v>
      </c>
      <c r="N97" s="76"/>
      <c r="O97" s="76"/>
      <c r="P97" s="77"/>
      <c r="Q97" s="76"/>
      <c r="R97" s="77"/>
      <c r="S97" s="76"/>
      <c r="T97" s="75"/>
      <c r="U97" s="75">
        <f t="array" aca="1" ref="U97:X97" ca="1">TRANSPOSE(TRANSPOSE(U96:X96)+etaN*MMULT(TRANSPOSE(F),t-MMULT(F,TRANSPOSE(U96:X96))))</f>
        <v>8.6084056021352343E-2</v>
      </c>
      <c r="V97" s="76">
        <f ca="1"/>
        <v>0.41411554615482887</v>
      </c>
      <c r="W97" s="76">
        <f ca="1"/>
        <v>0.13792548209883182</v>
      </c>
      <c r="X97" s="76">
        <f ca="1"/>
        <v>0.7359177263004264</v>
      </c>
      <c r="Y97" s="5"/>
      <c r="Z97" s="5"/>
      <c r="AA97" s="13"/>
      <c r="AB97" s="14"/>
      <c r="AC97" s="14"/>
      <c r="AD97" s="14"/>
      <c r="AE97" s="14"/>
      <c r="AF97" s="14"/>
      <c r="AG97" s="14"/>
      <c r="AH97" s="19"/>
    </row>
    <row r="98" spans="3:34" ht="15" customHeight="1" x14ac:dyDescent="0.2">
      <c r="C98" s="6">
        <v>54</v>
      </c>
      <c r="D98" s="75">
        <f t="array" aca="1" ref="D98:G98" ca="1">TRANSPOSE(TRANSPOSE(D97:G97)+etaN*MMULT(TRANSPOSE(X_),t-MMULT(X_,TRANSPOSE(D97:G97))))</f>
        <v>0.13258116762110428</v>
      </c>
      <c r="E98" s="76">
        <f ca="1"/>
        <v>0.90613404448464352</v>
      </c>
      <c r="F98" s="76">
        <f ca="1"/>
        <v>0.32984856312336425</v>
      </c>
      <c r="G98" s="76">
        <f ca="1"/>
        <v>0.35536477963017915</v>
      </c>
      <c r="H98" s="76"/>
      <c r="I98" s="76"/>
      <c r="J98" s="77"/>
      <c r="K98" s="75">
        <f t="array" aca="1" ref="K98:M98" ca="1">TRANSPOSE(TRANSPOSE(K97:M97)+etaN*MMULT(TRANSPOSE(X),t-MMULT(X,TRANSPOSE(K97:M97))))</f>
        <v>0.17739086496996126</v>
      </c>
      <c r="L98" s="76">
        <f ca="1"/>
        <v>1.0455744665065629</v>
      </c>
      <c r="M98" s="76">
        <f ca="1"/>
        <v>0.37144909704773194</v>
      </c>
      <c r="N98" s="76"/>
      <c r="O98" s="76"/>
      <c r="P98" s="77"/>
      <c r="Q98" s="76"/>
      <c r="R98" s="77"/>
      <c r="S98" s="76"/>
      <c r="T98" s="75"/>
      <c r="U98" s="75">
        <f t="array" aca="1" ref="U98:X98" ca="1">TRANSPOSE(TRANSPOSE(U97:X97)+etaN*MMULT(TRANSPOSE(F),t-MMULT(F,TRANSPOSE(U97:X97))))</f>
        <v>8.6155441942708022E-2</v>
      </c>
      <c r="V98" s="76">
        <f ca="1"/>
        <v>0.41211848686684216</v>
      </c>
      <c r="W98" s="76">
        <f ca="1"/>
        <v>0.13855239966064398</v>
      </c>
      <c r="X98" s="76">
        <f ca="1"/>
        <v>0.73762411510660508</v>
      </c>
      <c r="Y98" s="5"/>
      <c r="Z98" s="5"/>
      <c r="AA98" s="13"/>
      <c r="AB98" s="14"/>
      <c r="AC98" s="14"/>
      <c r="AD98" s="14"/>
      <c r="AE98" s="14"/>
      <c r="AF98" s="14"/>
      <c r="AG98" s="14"/>
      <c r="AH98" s="19"/>
    </row>
    <row r="99" spans="3:34" ht="15" customHeight="1" x14ac:dyDescent="0.2">
      <c r="C99" s="6">
        <v>55</v>
      </c>
      <c r="D99" s="75">
        <f t="array" aca="1" ref="D99:G99" ca="1">TRANSPOSE(TRANSPOSE(D98:G98)+etaN*MMULT(TRANSPOSE(X_),t-MMULT(X_,TRANSPOSE(D98:G98))))</f>
        <v>0.13223224414289586</v>
      </c>
      <c r="E99" s="76">
        <f ca="1"/>
        <v>0.90624445195442505</v>
      </c>
      <c r="F99" s="76">
        <f ca="1"/>
        <v>0.33327766948192328</v>
      </c>
      <c r="G99" s="76">
        <f ca="1"/>
        <v>0.35444522322006189</v>
      </c>
      <c r="H99" s="76"/>
      <c r="I99" s="76"/>
      <c r="J99" s="77"/>
      <c r="K99" s="75">
        <f t="array" aca="1" ref="K99:M99" ca="1">TRANSPOSE(TRANSPOSE(K98:M98)+etaN*MMULT(TRANSPOSE(X),t-MMULT(X,TRANSPOSE(K98:M98))))</f>
        <v>0.17745655129080404</v>
      </c>
      <c r="L99" s="76">
        <f ca="1"/>
        <v>1.0454260840955645</v>
      </c>
      <c r="M99" s="76">
        <f ca="1"/>
        <v>0.37524316261937762</v>
      </c>
      <c r="N99" s="76"/>
      <c r="O99" s="76"/>
      <c r="P99" s="77"/>
      <c r="Q99" s="76"/>
      <c r="R99" s="77"/>
      <c r="S99" s="76"/>
      <c r="T99" s="75"/>
      <c r="U99" s="75">
        <f t="array" aca="1" ref="U99:X99" ca="1">TRANSPOSE(TRANSPOSE(U98:X98)+etaN*MMULT(TRANSPOSE(F),t-MMULT(F,TRANSPOSE(U98:X98))))</f>
        <v>8.6230832136124189E-2</v>
      </c>
      <c r="V99" s="76">
        <f ca="1"/>
        <v>0.41014645014447715</v>
      </c>
      <c r="W99" s="76">
        <f ca="1"/>
        <v>0.13917460013424809</v>
      </c>
      <c r="X99" s="76">
        <f ca="1"/>
        <v>0.73930739281270896</v>
      </c>
      <c r="Y99" s="5"/>
      <c r="Z99" s="5"/>
      <c r="AA99" s="13"/>
      <c r="AB99" s="14"/>
      <c r="AC99" s="14"/>
      <c r="AD99" s="14"/>
      <c r="AE99" s="14"/>
      <c r="AF99" s="14"/>
      <c r="AG99" s="14"/>
      <c r="AH99" s="19"/>
    </row>
    <row r="100" spans="3:34" ht="15" customHeight="1" x14ac:dyDescent="0.2">
      <c r="C100" s="6">
        <v>56</v>
      </c>
      <c r="D100" s="75">
        <f t="array" aca="1" ref="D100:G100" ca="1">TRANSPOSE(TRANSPOSE(D99:G99)+etaN*MMULT(TRANSPOSE(X_),t-MMULT(X_,TRANSPOSE(D99:G99))))</f>
        <v>0.13188035379406621</v>
      </c>
      <c r="E100" s="76">
        <f ca="1"/>
        <v>0.90633747089062466</v>
      </c>
      <c r="F100" s="76">
        <f ca="1"/>
        <v>0.33670067124073799</v>
      </c>
      <c r="G100" s="76">
        <f ca="1"/>
        <v>0.35352059983308498</v>
      </c>
      <c r="H100" s="76"/>
      <c r="I100" s="76"/>
      <c r="J100" s="77"/>
      <c r="K100" s="75">
        <f t="array" aca="1" ref="K100:M100" ca="1">TRANSPOSE(TRANSPOSE(K99:M99)+etaN*MMULT(TRANSPOSE(X),t-MMULT(X,TRANSPOSE(K99:M99))))</f>
        <v>0.1775137432071564</v>
      </c>
      <c r="L100" s="76">
        <f ca="1"/>
        <v>1.0452365560438195</v>
      </c>
      <c r="M100" s="76">
        <f ca="1"/>
        <v>0.37902555224959339</v>
      </c>
      <c r="N100" s="76"/>
      <c r="O100" s="76"/>
      <c r="P100" s="77"/>
      <c r="Q100" s="76"/>
      <c r="R100" s="77"/>
      <c r="S100" s="76"/>
      <c r="T100" s="75"/>
      <c r="U100" s="75">
        <f t="array" aca="1" ref="U100:X100" ca="1">TRANSPOSE(TRANSPOSE(U99:X99)+etaN*MMULT(TRANSPOSE(F),t-MMULT(F,TRANSPOSE(U99:X99))))</f>
        <v>8.6310177706335478E-2</v>
      </c>
      <c r="V100" s="76">
        <f ca="1"/>
        <v>0.40819915887181629</v>
      </c>
      <c r="W100" s="76">
        <f ca="1"/>
        <v>0.1397921489522502</v>
      </c>
      <c r="X100" s="76">
        <f ca="1"/>
        <v>0.74096791548619323</v>
      </c>
      <c r="Y100" s="5"/>
      <c r="Z100" s="5"/>
      <c r="AA100" s="13"/>
      <c r="AB100" s="14"/>
      <c r="AC100" s="14"/>
      <c r="AD100" s="14"/>
      <c r="AE100" s="14"/>
      <c r="AF100" s="14"/>
      <c r="AG100" s="14"/>
      <c r="AH100" s="19"/>
    </row>
    <row r="101" spans="3:34" ht="15" customHeight="1" x14ac:dyDescent="0.2">
      <c r="C101" s="6">
        <v>57</v>
      </c>
      <c r="D101" s="75">
        <f t="array" aca="1" ref="D101:G101" ca="1">TRANSPOSE(TRANSPOSE(D100:G100)+etaN*MMULT(TRANSPOSE(X_),t-MMULT(X_,TRANSPOSE(D100:G100))))</f>
        <v>0.13152582606894442</v>
      </c>
      <c r="E101" s="76">
        <f ca="1"/>
        <v>0.90641507630434526</v>
      </c>
      <c r="F101" s="76">
        <f ca="1"/>
        <v>0.34011788420705402</v>
      </c>
      <c r="G101" s="76">
        <f ca="1"/>
        <v>0.35259179241724647</v>
      </c>
      <c r="H101" s="76"/>
      <c r="I101" s="76"/>
      <c r="J101" s="77"/>
      <c r="K101" s="75">
        <f t="array" aca="1" ref="K101:M101" ca="1">TRANSPOSE(TRANSPOSE(K100:M100)+etaN*MMULT(TRANSPOSE(X),t-MMULT(X,TRANSPOSE(K100:M100))))</f>
        <v>0.17756312326426085</v>
      </c>
      <c r="L101" s="76">
        <f ca="1"/>
        <v>1.0450100604052555</v>
      </c>
      <c r="M101" s="76">
        <f ca="1"/>
        <v>0.38279691868463539</v>
      </c>
      <c r="N101" s="76"/>
      <c r="O101" s="76"/>
      <c r="P101" s="77"/>
      <c r="Q101" s="76"/>
      <c r="R101" s="77"/>
      <c r="S101" s="76"/>
      <c r="T101" s="75"/>
      <c r="U101" s="75">
        <f t="array" aca="1" ref="U101:X101" ca="1">TRANSPOSE(TRANSPOSE(U100:X100)+etaN*MMULT(TRANSPOSE(F),t-MMULT(F,TRANSPOSE(U100:X100))))</f>
        <v>8.6393428847599235E-2</v>
      </c>
      <c r="V101" s="76">
        <f ca="1"/>
        <v>0.40627632988287338</v>
      </c>
      <c r="W101" s="76">
        <f ca="1"/>
        <v>0.14040510898242406</v>
      </c>
      <c r="X101" s="76">
        <f ca="1"/>
        <v>0.74260602391246511</v>
      </c>
      <c r="Y101" s="5"/>
      <c r="Z101" s="5"/>
      <c r="AA101" s="13"/>
      <c r="AB101" s="14"/>
      <c r="AC101" s="14"/>
      <c r="AD101" s="14"/>
      <c r="AE101" s="14"/>
      <c r="AF101" s="14"/>
      <c r="AG101" s="14"/>
      <c r="AH101" s="19"/>
    </row>
    <row r="102" spans="3:34" ht="15" customHeight="1" x14ac:dyDescent="0.2">
      <c r="C102" s="6">
        <v>58</v>
      </c>
      <c r="D102" s="75">
        <f t="array" aca="1" ref="D102:G102" ca="1">TRANSPOSE(TRANSPOSE(D101:G101)+etaN*MMULT(TRANSPOSE(X_),t-MMULT(X_,TRANSPOSE(D101:G101))))</f>
        <v>0.13116895170350834</v>
      </c>
      <c r="E102" s="76">
        <f ca="1"/>
        <v>0.90647901212368576</v>
      </c>
      <c r="F102" s="76">
        <f ca="1"/>
        <v>0.34352958741929646</v>
      </c>
      <c r="G102" s="76">
        <f ca="1"/>
        <v>0.35165957913967572</v>
      </c>
      <c r="H102" s="76"/>
      <c r="I102" s="76"/>
      <c r="J102" s="77"/>
      <c r="K102" s="75">
        <f t="array" aca="1" ref="K102:M102" ca="1">TRANSPOSE(TRANSPOSE(K101:M101)+etaN*MMULT(TRANSPOSE(X),t-MMULT(X,TRANSPOSE(K101:M101))))</f>
        <v>0.17760530672132765</v>
      </c>
      <c r="L102" s="76">
        <f ca="1"/>
        <v>1.0447503613190738</v>
      </c>
      <c r="M102" s="76">
        <f ca="1"/>
        <v>0.38655785080105681</v>
      </c>
      <c r="N102" s="76"/>
      <c r="O102" s="76"/>
      <c r="P102" s="77"/>
      <c r="Q102" s="76"/>
      <c r="R102" s="77"/>
      <c r="S102" s="76"/>
      <c r="T102" s="75"/>
      <c r="U102" s="75">
        <f t="array" aca="1" ref="U102:X102" ca="1">TRANSPOSE(TRANSPOSE(U101:X101)+etaN*MMULT(TRANSPOSE(F),t-MMULT(F,TRANSPOSE(U101:X101))))</f>
        <v>8.6480535163508315E-2</v>
      </c>
      <c r="V102" s="76">
        <f ca="1"/>
        <v>0.40437767595660068</v>
      </c>
      <c r="W102" s="76">
        <f ca="1"/>
        <v>0.1410135409013796</v>
      </c>
      <c r="X102" s="76">
        <f ca="1"/>
        <v>0.74422204590227581</v>
      </c>
      <c r="Y102" s="5"/>
      <c r="Z102" s="5"/>
      <c r="AA102" s="13"/>
      <c r="AB102" s="14"/>
      <c r="AC102" s="14"/>
      <c r="AD102" s="14"/>
      <c r="AE102" s="14"/>
      <c r="AF102" s="14"/>
      <c r="AG102" s="14"/>
      <c r="AH102" s="19"/>
    </row>
    <row r="103" spans="3:34" ht="15" customHeight="1" x14ac:dyDescent="0.2">
      <c r="C103" s="6">
        <v>59</v>
      </c>
      <c r="D103" s="75">
        <f t="array" aca="1" ref="D103:G103" ca="1">TRANSPOSE(TRANSPOSE(D102:G102)+etaN*MMULT(TRANSPOSE(X_),t-MMULT(X_,TRANSPOSE(D102:G102))))</f>
        <v>0.13080998722188608</v>
      </c>
      <c r="E103" s="76">
        <f ca="1"/>
        <v>0.90653081829052162</v>
      </c>
      <c r="F103" s="76">
        <f ca="1"/>
        <v>0.34693602745996549</v>
      </c>
      <c r="G103" s="76">
        <f ca="1"/>
        <v>0.35072464568181899</v>
      </c>
      <c r="H103" s="76"/>
      <c r="I103" s="76"/>
      <c r="J103" s="77"/>
      <c r="K103" s="75">
        <f t="array" aca="1" ref="K103:M103" ca="1">TRANSPOSE(TRANSPOSE(K102:M102)+etaN*MMULT(TRANSPOSE(X),t-MMULT(X,TRANSPOSE(K102:M102))))</f>
        <v>0.17764084821426529</v>
      </c>
      <c r="L103" s="76">
        <f ca="1"/>
        <v>1.0444608499993497</v>
      </c>
      <c r="M103" s="76">
        <f ca="1"/>
        <v>0.39030887992941649</v>
      </c>
      <c r="N103" s="76"/>
      <c r="O103" s="76"/>
      <c r="P103" s="77"/>
      <c r="Q103" s="76"/>
      <c r="R103" s="77"/>
      <c r="S103" s="76"/>
      <c r="T103" s="75"/>
      <c r="U103" s="75">
        <f t="array" aca="1" ref="U103:X103" ca="1">TRANSPOSE(TRANSPOSE(U102:X102)+etaN*MMULT(TRANSPOSE(F),t-MMULT(F,TRANSPOSE(U102:X102))))</f>
        <v>8.6571445921589357E-2</v>
      </c>
      <c r="V103" s="76">
        <f ca="1"/>
        <v>0.40250290740604988</v>
      </c>
      <c r="W103" s="76">
        <f ca="1"/>
        <v>0.14161750349591823</v>
      </c>
      <c r="X103" s="76">
        <f ca="1"/>
        <v>0.74581629815115047</v>
      </c>
      <c r="Y103" s="5"/>
      <c r="Z103" s="5"/>
      <c r="AA103" s="13"/>
      <c r="AB103" s="14"/>
      <c r="AC103" s="14"/>
      <c r="AD103" s="14"/>
      <c r="AE103" s="14"/>
      <c r="AF103" s="14"/>
      <c r="AG103" s="14"/>
      <c r="AH103" s="19"/>
    </row>
    <row r="104" spans="3:34" ht="15" customHeight="1" x14ac:dyDescent="0.2">
      <c r="C104" s="6">
        <v>60</v>
      </c>
      <c r="D104" s="75">
        <f t="array" aca="1" ref="D104:G104" ca="1">TRANSPOSE(TRANSPOSE(D103:G103)+etaN*MMULT(TRANSPOSE(X_),t-MMULT(X_,TRANSPOSE(D103:G103))))</f>
        <v>0.13044915894965869</v>
      </c>
      <c r="E104" s="76">
        <f ca="1"/>
        <v>0.90657185467952972</v>
      </c>
      <c r="F104" s="76">
        <f ca="1"/>
        <v>0.35033742226272874</v>
      </c>
      <c r="G104" s="76">
        <f ca="1"/>
        <v>0.34978759609266347</v>
      </c>
      <c r="H104" s="76"/>
      <c r="I104" s="76"/>
      <c r="J104" s="77"/>
      <c r="K104" s="75">
        <f t="array" aca="1" ref="K104:M104" ca="1">TRANSPOSE(TRANSPOSE(K103:M103)+etaN*MMULT(TRANSPOSE(X),t-MMULT(X,TRANSPOSE(K103:M103))))</f>
        <v>0.17767024775861182</v>
      </c>
      <c r="L104" s="76">
        <f ca="1"/>
        <v>1.0441445816654946</v>
      </c>
      <c r="M104" s="76">
        <f ca="1"/>
        <v>0.39405048555176247</v>
      </c>
      <c r="N104" s="76"/>
      <c r="O104" s="76"/>
      <c r="P104" s="77"/>
      <c r="Q104" s="76"/>
      <c r="R104" s="77"/>
      <c r="S104" s="76"/>
      <c r="T104" s="75"/>
      <c r="U104" s="75">
        <f t="array" aca="1" ref="U104:X104" ca="1">TRANSPOSE(TRANSPOSE(U103:X103)+etaN*MMULT(TRANSPOSE(F),t-MMULT(F,TRANSPOSE(U103:X103))))</f>
        <v>8.6666110255637432E-2</v>
      </c>
      <c r="V104" s="76">
        <f ca="1"/>
        <v>0.40065173334227144</v>
      </c>
      <c r="W104" s="76">
        <f ca="1"/>
        <v>0.14221705390638628</v>
      </c>
      <c r="X104" s="76">
        <f ca="1"/>
        <v>0.74738908773953039</v>
      </c>
      <c r="Y104" s="5"/>
      <c r="Z104" s="5"/>
      <c r="AA104" s="13"/>
      <c r="AB104" s="14"/>
      <c r="AC104" s="14"/>
      <c r="AD104" s="14"/>
      <c r="AE104" s="14"/>
      <c r="AF104" s="14"/>
      <c r="AG104" s="14"/>
      <c r="AH104" s="19"/>
    </row>
    <row r="105" spans="3:34" x14ac:dyDescent="0.2">
      <c r="C105" s="6">
        <v>61</v>
      </c>
      <c r="D105" s="75">
        <f t="array" aca="1" ref="D105:G105" ca="1">TRANSPOSE(TRANSPOSE(D104:G104)+etaN*MMULT(TRANSPOSE(X_),t-MMULT(X_,TRANSPOSE(D104:G104))))</f>
        <v>0.13008666655649526</v>
      </c>
      <c r="E105" s="76">
        <f ca="1"/>
        <v>0.90660332221212991</v>
      </c>
      <c r="F105" s="76">
        <f ca="1"/>
        <v>0.35373396447302874</v>
      </c>
      <c r="G105" s="76">
        <f ca="1"/>
        <v>0.34884896236910595</v>
      </c>
      <c r="H105" s="76"/>
      <c r="I105" s="76"/>
      <c r="J105" s="77"/>
      <c r="K105" s="75">
        <f t="array" aca="1" ref="K105:M105" ca="1">TRANSPOSE(TRANSPOSE(K104:M104)+etaN*MMULT(TRANSPOSE(X),t-MMULT(X,TRANSPOSE(K104:M104))))</f>
        <v>0.17769395615800607</v>
      </c>
      <c r="L105" s="76">
        <f ca="1"/>
        <v>1.043804308815552</v>
      </c>
      <c r="M105" s="76">
        <f ca="1"/>
        <v>0.39778310043490483</v>
      </c>
      <c r="N105" s="76"/>
      <c r="O105" s="76"/>
      <c r="P105" s="77"/>
      <c r="Q105" s="76"/>
      <c r="R105" s="77"/>
      <c r="S105" s="76"/>
      <c r="T105" s="75"/>
      <c r="U105" s="75">
        <f t="array" aca="1" ref="U105:X105" ca="1">TRANSPOSE(TRANSPOSE(U104:X104)+etaN*MMULT(TRANSPOSE(F),t-MMULT(F,TRANSPOSE(U104:X104))))</f>
        <v>8.6764477326170528E-2</v>
      </c>
      <c r="V105" s="76">
        <f ca="1"/>
        <v>0.39882386267756154</v>
      </c>
      <c r="W105" s="76">
        <f ca="1"/>
        <v>0.14281224782350158</v>
      </c>
      <c r="X105" s="76">
        <f ca="1"/>
        <v>0.74894071334472689</v>
      </c>
      <c r="Y105" s="5"/>
      <c r="Z105" s="5"/>
      <c r="AA105" s="13"/>
      <c r="AB105" s="14"/>
      <c r="AC105" s="14"/>
      <c r="AD105" s="14"/>
      <c r="AE105" s="14"/>
      <c r="AF105" s="14"/>
      <c r="AG105" s="14"/>
      <c r="AH105" s="19"/>
    </row>
    <row r="106" spans="3:34" x14ac:dyDescent="0.2">
      <c r="C106" s="6">
        <v>62</v>
      </c>
      <c r="D106" s="75">
        <f t="array" aca="1" ref="D106:G106" ca="1">TRANSPOSE(TRANSPOSE(D105:G105)+etaN*MMULT(TRANSPOSE(X_),t-MMULT(X_,TRANSPOSE(D105:G105))))</f>
        <v>0.12972268618331792</v>
      </c>
      <c r="E106" s="76">
        <f ca="1"/>
        <v>0.90662628149430924</v>
      </c>
      <c r="F106" s="76">
        <f ca="1"/>
        <v>0.35712582441456719</v>
      </c>
      <c r="G106" s="76">
        <f ca="1"/>
        <v>0.34790921291274124</v>
      </c>
      <c r="H106" s="76"/>
      <c r="I106" s="76"/>
      <c r="J106" s="77"/>
      <c r="K106" s="75">
        <f t="array" aca="1" ref="K106:M106" ca="1">TRANSPOSE(TRANSPOSE(K105:M105)+etaN*MMULT(TRANSPOSE(X),t-MMULT(X,TRANSPOSE(K105:M105))))</f>
        <v>0.17771237987706717</v>
      </c>
      <c r="L106" s="76">
        <f ca="1"/>
        <v>1.0434425112044907</v>
      </c>
      <c r="M106" s="76">
        <f ca="1"/>
        <v>0.40150711525534993</v>
      </c>
      <c r="N106" s="76"/>
      <c r="O106" s="76"/>
      <c r="P106" s="77"/>
      <c r="Q106" s="76"/>
      <c r="R106" s="77"/>
      <c r="S106" s="76"/>
      <c r="T106" s="75"/>
      <c r="U106" s="75">
        <f t="array" aca="1" ref="U106:X106" ca="1">TRANSPOSE(TRANSPOSE(U105:X105)+etaN*MMULT(TRANSPOSE(F),t-MMULT(F,TRANSPOSE(U105:X105))))</f>
        <v>8.6866496447328675E-2</v>
      </c>
      <c r="V106" s="76">
        <f ca="1"/>
        <v>0.39701900491985609</v>
      </c>
      <c r="W106" s="76">
        <f ca="1"/>
        <v>0.14340313964785342</v>
      </c>
      <c r="X106" s="76">
        <f ca="1"/>
        <v>0.75047146622169247</v>
      </c>
      <c r="Y106" s="5"/>
      <c r="Z106" s="5"/>
      <c r="AA106" s="13"/>
      <c r="AB106" s="14"/>
      <c r="AC106" s="14"/>
      <c r="AD106" s="14"/>
      <c r="AE106" s="14"/>
      <c r="AF106" s="14"/>
      <c r="AG106" s="14"/>
      <c r="AH106" s="19"/>
    </row>
    <row r="107" spans="3:34" ht="13.5" thickBot="1" x14ac:dyDescent="0.25">
      <c r="C107" s="6">
        <v>63</v>
      </c>
      <c r="D107" s="75">
        <f t="array" aca="1" ref="D107:G107" ca="1">TRANSPOSE(TRANSPOSE(D106:G106)+etaN*MMULT(TRANSPOSE(X_),t-MMULT(X_,TRANSPOSE(D106:G106))))</f>
        <v>0.12935737320272112</v>
      </c>
      <c r="E107" s="76">
        <f ca="1"/>
        <v>0.90664166926871514</v>
      </c>
      <c r="F107" s="76">
        <f ca="1"/>
        <v>0.36051315270788642</v>
      </c>
      <c r="G107" s="76">
        <f ca="1"/>
        <v>0.34696875999483778</v>
      </c>
      <c r="H107" s="76"/>
      <c r="I107" s="76"/>
      <c r="J107" s="77"/>
      <c r="K107" s="75">
        <f t="array" aca="1" ref="K107:M107" ca="1">TRANSPOSE(TRANSPOSE(K106:M106)+etaN*MMULT(TRANSPOSE(X),t-MMULT(X,TRANSPOSE(K106:M106))))</f>
        <v>0.17772588543172124</v>
      </c>
      <c r="L107" s="76">
        <f ca="1"/>
        <v>1.0430614228537942</v>
      </c>
      <c r="M107" s="76">
        <f ca="1"/>
        <v>0.40522288276623675</v>
      </c>
      <c r="N107" s="76"/>
      <c r="O107" s="76"/>
      <c r="P107" s="77"/>
      <c r="Q107" s="76"/>
      <c r="R107" s="77"/>
      <c r="S107" s="76"/>
      <c r="T107" s="75"/>
      <c r="U107" s="75">
        <f t="array" aca="1" ref="U107:X107" ca="1">TRANSPOSE(TRANSPOSE(U106:X106)+etaN*MMULT(TRANSPOSE(F),t-MMULT(F,TRANSPOSE(U106:X106))))</f>
        <v>8.6972117186892114E-2</v>
      </c>
      <c r="V107" s="76">
        <f ca="1"/>
        <v>0.39523687079980235</v>
      </c>
      <c r="W107" s="76">
        <f ca="1"/>
        <v>0.14398978261945311</v>
      </c>
      <c r="X107" s="76">
        <f ca="1"/>
        <v>0.75198163099831794</v>
      </c>
      <c r="Y107" s="5"/>
      <c r="Z107" s="5"/>
      <c r="AA107" s="13"/>
      <c r="AB107" s="14"/>
      <c r="AC107" s="14"/>
      <c r="AD107" s="14"/>
      <c r="AE107" s="14"/>
      <c r="AF107" s="14"/>
      <c r="AG107" s="14"/>
      <c r="AH107" s="19"/>
    </row>
    <row r="108" spans="3:34" ht="13.5" thickBot="1" x14ac:dyDescent="0.25">
      <c r="C108" s="6">
        <v>64</v>
      </c>
      <c r="D108" s="138">
        <f t="array" aca="1" ref="D108:G108" ca="1">TRANSPOSE(TRANSPOSE(D107:G107)+etaN*MMULT(TRANSPOSE(X_),t-MMULT(X_,TRANSPOSE(D107:G107))))</f>
        <v>0.12899086465565524</v>
      </c>
      <c r="E108" s="139">
        <f ca="1"/>
        <v>0.90665031293735021</v>
      </c>
      <c r="F108" s="139">
        <f ca="1"/>
        <v>0.36389608258184902</v>
      </c>
      <c r="G108" s="140">
        <f ca="1"/>
        <v>0.3460279663458164</v>
      </c>
      <c r="H108" s="81"/>
      <c r="I108" s="81"/>
      <c r="J108" s="82"/>
      <c r="K108" s="138">
        <f t="array" aca="1" ref="K108:M108" ca="1">TRANSPOSE(TRANSPOSE(K107:M107)+etaN*MMULT(TRANSPOSE(X),t-MMULT(X,TRANSPOSE(K107:M107))))</f>
        <v>0.17773480334476147</v>
      </c>
      <c r="L108" s="139">
        <f ca="1"/>
        <v>1.0426630563863299</v>
      </c>
      <c r="M108" s="140">
        <f ca="1"/>
        <v>0.40893072155162991</v>
      </c>
      <c r="N108" s="81"/>
      <c r="O108" s="81"/>
      <c r="P108" s="82"/>
      <c r="Q108" s="76"/>
      <c r="R108" s="77"/>
      <c r="S108" s="76"/>
      <c r="T108" s="75"/>
      <c r="U108" s="78">
        <f t="array" aca="1" ref="U108:X108" ca="1">TRANSPOSE(TRANSPOSE(U107:X107)+etaN*MMULT(TRANSPOSE(F),t-MMULT(F,TRANSPOSE(U107:X107))))</f>
        <v>8.7081289444769436E-2</v>
      </c>
      <c r="V108" s="79">
        <f ca="1"/>
        <v>0.39347717276380434</v>
      </c>
      <c r="W108" s="79">
        <f ca="1"/>
        <v>0.14457222892325</v>
      </c>
      <c r="X108" s="80">
        <f ca="1"/>
        <v>0.75347148632190419</v>
      </c>
      <c r="Y108" s="83"/>
      <c r="Z108" s="83"/>
      <c r="AA108" s="84"/>
      <c r="AB108" s="14"/>
      <c r="AC108" s="14"/>
      <c r="AD108" s="14"/>
      <c r="AE108" s="14"/>
      <c r="AF108" s="14"/>
      <c r="AG108" s="14"/>
      <c r="AH108" s="19"/>
    </row>
    <row r="109" spans="3:34" x14ac:dyDescent="0.2">
      <c r="C109" s="6"/>
      <c r="D109" s="14"/>
      <c r="E109" s="14"/>
      <c r="F109" s="14"/>
      <c r="G109" s="14"/>
      <c r="H109" s="14"/>
      <c r="I109" s="14"/>
      <c r="J109" s="14"/>
      <c r="K109" s="14"/>
      <c r="L109" s="14"/>
      <c r="M109" s="14"/>
      <c r="N109" s="14"/>
      <c r="O109" s="14"/>
      <c r="P109" s="14"/>
      <c r="Q109" s="14"/>
      <c r="R109" s="19"/>
      <c r="S109" s="14"/>
      <c r="T109" s="6"/>
      <c r="U109" s="14"/>
      <c r="V109" s="14"/>
      <c r="W109" s="14"/>
      <c r="X109" s="14"/>
      <c r="Y109" s="14"/>
      <c r="Z109" s="14"/>
      <c r="AA109" s="14"/>
      <c r="AB109" s="14"/>
      <c r="AC109" s="14"/>
      <c r="AD109" s="14"/>
      <c r="AE109" s="14"/>
      <c r="AF109" s="14"/>
      <c r="AG109" s="14"/>
      <c r="AH109" s="19"/>
    </row>
    <row r="110" spans="3:34" ht="13.5" thickBot="1" x14ac:dyDescent="0.25">
      <c r="C110" s="104"/>
      <c r="D110" s="17"/>
      <c r="E110" s="17"/>
      <c r="F110" s="17"/>
      <c r="G110" s="17"/>
      <c r="H110" s="17"/>
      <c r="I110" s="17"/>
      <c r="J110" s="17"/>
      <c r="K110" s="17"/>
      <c r="L110" s="17"/>
      <c r="M110" s="17"/>
      <c r="N110" s="17"/>
      <c r="O110" s="17"/>
      <c r="P110" s="17"/>
      <c r="Q110" s="17"/>
      <c r="R110" s="18"/>
      <c r="S110" s="14"/>
      <c r="T110" s="6"/>
      <c r="U110" s="14"/>
      <c r="V110" s="14"/>
      <c r="W110" s="14"/>
      <c r="X110" s="14"/>
      <c r="Y110" s="14"/>
      <c r="Z110" s="14"/>
      <c r="AA110" s="14"/>
      <c r="AB110" s="14"/>
      <c r="AC110" s="14"/>
      <c r="AD110" s="14"/>
      <c r="AE110" s="14"/>
      <c r="AF110" s="14"/>
      <c r="AG110" s="14"/>
      <c r="AH110" s="19"/>
    </row>
    <row r="111" spans="3:34" ht="13.5" thickBot="1" x14ac:dyDescent="0.25">
      <c r="T111" s="104"/>
      <c r="U111" s="17"/>
      <c r="V111" s="17"/>
      <c r="W111" s="17"/>
      <c r="X111" s="17"/>
      <c r="Y111" s="17"/>
      <c r="Z111" s="17"/>
      <c r="AA111" s="17"/>
      <c r="AB111" s="17"/>
      <c r="AC111" s="17"/>
      <c r="AD111" s="17"/>
      <c r="AE111" s="17"/>
      <c r="AF111" s="17"/>
      <c r="AG111" s="17"/>
      <c r="AH111" s="18"/>
    </row>
    <row r="113" spans="27:27" ht="21" x14ac:dyDescent="0.2">
      <c r="AA113" s="42"/>
    </row>
    <row r="114" spans="27:27" ht="21" x14ac:dyDescent="0.2">
      <c r="AA114" s="42"/>
    </row>
    <row r="115" spans="27:27" ht="21" x14ac:dyDescent="0.2">
      <c r="AA115" s="42"/>
    </row>
    <row r="116" spans="27:27" ht="21" x14ac:dyDescent="0.2">
      <c r="AA116" s="42"/>
    </row>
    <row r="117" spans="27:27" ht="21" x14ac:dyDescent="0.2">
      <c r="AA117" s="42"/>
    </row>
    <row r="118" spans="27:27" ht="21" x14ac:dyDescent="0.2">
      <c r="AA118" s="42"/>
    </row>
    <row r="119" spans="27:27" ht="21" x14ac:dyDescent="0.2">
      <c r="AA119" s="42"/>
    </row>
    <row r="120" spans="27:27" ht="21" x14ac:dyDescent="0.2">
      <c r="AA120" s="42"/>
    </row>
    <row r="121" spans="27:27" ht="21" x14ac:dyDescent="0.2">
      <c r="AA121" s="42"/>
    </row>
    <row r="122" spans="27:27" ht="21" x14ac:dyDescent="0.2">
      <c r="AA122" s="32"/>
    </row>
    <row r="123" spans="27:27" ht="21" x14ac:dyDescent="0.2">
      <c r="AA123" s="32"/>
    </row>
    <row r="124" spans="27:27" ht="12.75" customHeight="1" x14ac:dyDescent="0.2"/>
  </sheetData>
  <mergeCells count="22">
    <mergeCell ref="K37:K39"/>
    <mergeCell ref="T37:T40"/>
    <mergeCell ref="U31:X31"/>
    <mergeCell ref="C37:C40"/>
    <mergeCell ref="M31:R31"/>
    <mergeCell ref="C2:R2"/>
    <mergeCell ref="T2:AH2"/>
    <mergeCell ref="Y32:Y33"/>
    <mergeCell ref="Z32:Z33"/>
    <mergeCell ref="U32:X33"/>
    <mergeCell ref="I32:I33"/>
    <mergeCell ref="J32:J33"/>
    <mergeCell ref="D32:H33"/>
    <mergeCell ref="K32:K33"/>
    <mergeCell ref="L32:L33"/>
    <mergeCell ref="I9:J9"/>
    <mergeCell ref="K9:L9"/>
    <mergeCell ref="D31:H31"/>
    <mergeCell ref="N4:R8"/>
    <mergeCell ref="T4:AH7"/>
    <mergeCell ref="U8:AH9"/>
    <mergeCell ref="Q44:Q49"/>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9D9C81E838C74F985EEA30EC4BB229" ma:contentTypeVersion="14" ma:contentTypeDescription="Create a new document." ma:contentTypeScope="" ma:versionID="3f7c9110ac8d4f5faa764d2d356ec90a">
  <xsd:schema xmlns:xsd="http://www.w3.org/2001/XMLSchema" xmlns:xs="http://www.w3.org/2001/XMLSchema" xmlns:p="http://schemas.microsoft.com/office/2006/metadata/properties" xmlns:ns3="38ba4c33-77d7-48b1-9088-3ac9cbe3275a" xmlns:ns4="2fb9d49a-94b6-4702-8584-f5659814f446" targetNamespace="http://schemas.microsoft.com/office/2006/metadata/properties" ma:root="true" ma:fieldsID="afa2b6562a636135f044fd66acdfa070" ns3:_="" ns4:_="">
    <xsd:import namespace="38ba4c33-77d7-48b1-9088-3ac9cbe3275a"/>
    <xsd:import namespace="2fb9d49a-94b6-4702-8584-f5659814f44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ba4c33-77d7-48b1-9088-3ac9cbe327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b9d49a-94b6-4702-8584-f5659814f44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F64CD-8886-4264-A74C-76FE54A8AB6E}">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2fb9d49a-94b6-4702-8584-f5659814f446"/>
    <ds:schemaRef ds:uri="http://purl.org/dc/elements/1.1/"/>
    <ds:schemaRef ds:uri="http://schemas.microsoft.com/office/2006/metadata/properties"/>
    <ds:schemaRef ds:uri="38ba4c33-77d7-48b1-9088-3ac9cbe3275a"/>
    <ds:schemaRef ds:uri="http://www.w3.org/XML/1998/namespace"/>
  </ds:schemaRefs>
</ds:datastoreItem>
</file>

<file path=customXml/itemProps2.xml><?xml version="1.0" encoding="utf-8"?>
<ds:datastoreItem xmlns:ds="http://schemas.openxmlformats.org/officeDocument/2006/customXml" ds:itemID="{1C3D8889-7AAA-414B-9593-E50C2FDEF3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ba4c33-77d7-48b1-9088-3ac9cbe3275a"/>
    <ds:schemaRef ds:uri="2fb9d49a-94b6-4702-8584-f5659814f4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F22C36-60C1-4826-82F8-3F0DDEB112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41</vt:i4>
      </vt:variant>
    </vt:vector>
  </HeadingPairs>
  <TitlesOfParts>
    <vt:vector size="42" baseType="lpstr">
      <vt:lpstr>Multivariate LR x3 is redundant</vt:lpstr>
      <vt:lpstr>a</vt:lpstr>
      <vt:lpstr>b</vt:lpstr>
      <vt:lpstr>d</vt:lpstr>
      <vt:lpstr>e</vt:lpstr>
      <vt:lpstr>eta</vt:lpstr>
      <vt:lpstr>etaN</vt:lpstr>
      <vt:lpstr>F</vt:lpstr>
      <vt:lpstr>F__1</vt:lpstr>
      <vt:lpstr>F__2</vt:lpstr>
      <vt:lpstr>F__3</vt:lpstr>
      <vt:lpstr>F__4</vt:lpstr>
      <vt:lpstr>f_0</vt:lpstr>
      <vt:lpstr>f_1</vt:lpstr>
      <vt:lpstr>f_2</vt:lpstr>
      <vt:lpstr>f_3</vt:lpstr>
      <vt:lpstr>id</vt:lpstr>
      <vt:lpstr>N</vt:lpstr>
      <vt:lpstr>noise_0</vt:lpstr>
      <vt:lpstr>noise_1</vt:lpstr>
      <vt:lpstr>noise_2</vt:lpstr>
      <vt:lpstr>noise_3</vt:lpstr>
      <vt:lpstr>noise_t</vt:lpstr>
      <vt:lpstr>t</vt:lpstr>
      <vt:lpstr>wf_gd</vt:lpstr>
      <vt:lpstr>wf_ls</vt:lpstr>
      <vt:lpstr>wx_gd</vt:lpstr>
      <vt:lpstr>wx_ls</vt:lpstr>
      <vt:lpstr>wxx_gd</vt:lpstr>
      <vt:lpstr>wxx_ls</vt:lpstr>
      <vt:lpstr>X</vt:lpstr>
      <vt:lpstr>X_</vt:lpstr>
      <vt:lpstr>x_0</vt:lpstr>
      <vt:lpstr>x_1</vt:lpstr>
      <vt:lpstr>x_2</vt:lpstr>
      <vt:lpstr>x_3</vt:lpstr>
      <vt:lpstr>yf_GD</vt:lpstr>
      <vt:lpstr>yf_LS</vt:lpstr>
      <vt:lpstr>yx_GD</vt:lpstr>
      <vt:lpstr>yx_LS</vt:lpstr>
      <vt:lpstr>yxx_GD</vt:lpstr>
      <vt:lpstr>yxx_LS</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Altahhan</dc:creator>
  <cp:lastModifiedBy>Abdulrahman Altahhan</cp:lastModifiedBy>
  <dcterms:created xsi:type="dcterms:W3CDTF">2021-06-01T07:43:58Z</dcterms:created>
  <dcterms:modified xsi:type="dcterms:W3CDTF">2021-06-09T18:17:21Z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0x010100749D9C81E838C74F985EEA30EC4BB229</vt:lpwstr>
  </property>
</Properties>
</file>