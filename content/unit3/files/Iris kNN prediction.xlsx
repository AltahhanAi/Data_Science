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saalt\OneDrive - University of Leeds\Downloads\Resources for ODL MSc\Data Science Contents\unit5\code\datasets\"/>
    </mc:Choice>
  </mc:AlternateContent>
  <bookViews>
    <workbookView xWindow="0" yWindow="0" windowWidth="28800" windowHeight="12345" firstSheet="1" activeTab="1"/>
  </bookViews>
  <sheets>
    <sheet name="kNN on mini-iris" sheetId="1" r:id="rId1"/>
    <sheet name="kNN on normalised mini-iris" sheetId="3" r:id="rId2"/>
    <sheet name="iris_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10" i="3"/>
  <c r="J11" i="3"/>
  <c r="J12" i="3"/>
  <c r="J13" i="3"/>
  <c r="J14" i="3"/>
  <c r="J15" i="3"/>
  <c r="J16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J8" i="3"/>
  <c r="D18" i="3"/>
  <c r="E18" i="3"/>
  <c r="F18" i="3"/>
  <c r="C18" i="3"/>
  <c r="D17" i="3" l="1"/>
  <c r="E17" i="3"/>
  <c r="F17" i="3"/>
  <c r="C17" i="3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T5" i="3" l="1"/>
  <c r="R5" i="3"/>
  <c r="S5" i="3"/>
  <c r="U5" i="3"/>
  <c r="P14" i="1"/>
  <c r="P8" i="1"/>
  <c r="P16" i="1"/>
  <c r="P13" i="1"/>
  <c r="P9" i="1"/>
  <c r="P11" i="1"/>
  <c r="P15" i="1"/>
  <c r="P12" i="1"/>
  <c r="P10" i="1"/>
  <c r="P22" i="1"/>
  <c r="P28" i="1" l="1"/>
  <c r="T13" i="3"/>
  <c r="T10" i="3"/>
  <c r="T16" i="3"/>
  <c r="T9" i="3"/>
  <c r="T14" i="3"/>
  <c r="T11" i="3"/>
  <c r="T15" i="3"/>
  <c r="T12" i="3"/>
  <c r="T8" i="3"/>
  <c r="R9" i="3"/>
  <c r="R12" i="3"/>
  <c r="R16" i="3"/>
  <c r="R8" i="3"/>
  <c r="R10" i="3"/>
  <c r="R15" i="3"/>
  <c r="R13" i="3"/>
  <c r="R11" i="3"/>
  <c r="R14" i="3"/>
  <c r="S11" i="3"/>
  <c r="S16" i="3"/>
  <c r="S9" i="3"/>
  <c r="S8" i="3"/>
  <c r="S14" i="3"/>
  <c r="S13" i="3"/>
  <c r="S10" i="3"/>
  <c r="S15" i="3"/>
  <c r="S12" i="3"/>
  <c r="U15" i="3"/>
  <c r="U9" i="3"/>
  <c r="U16" i="3"/>
  <c r="U8" i="3"/>
  <c r="U13" i="3"/>
  <c r="U10" i="3"/>
  <c r="U11" i="3"/>
  <c r="U12" i="3"/>
  <c r="U14" i="3"/>
  <c r="M28" i="1"/>
  <c r="J28" i="1"/>
  <c r="K28" i="1"/>
  <c r="L28" i="1"/>
  <c r="N28" i="1"/>
  <c r="M22" i="1"/>
  <c r="N22" i="1"/>
  <c r="L22" i="1"/>
  <c r="J22" i="1"/>
  <c r="K22" i="1"/>
  <c r="P25" i="1"/>
  <c r="P24" i="1"/>
  <c r="P27" i="1"/>
  <c r="Q27" i="1" s="1"/>
  <c r="P20" i="1"/>
  <c r="P23" i="1"/>
  <c r="P26" i="1"/>
  <c r="P21" i="1"/>
  <c r="Q22" i="1"/>
  <c r="O22" i="1"/>
  <c r="O28" i="1"/>
  <c r="Q28" i="1"/>
  <c r="W12" i="3" l="1"/>
  <c r="W16" i="3"/>
  <c r="W10" i="3"/>
  <c r="W13" i="3"/>
  <c r="W11" i="3"/>
  <c r="W8" i="3"/>
  <c r="W9" i="3"/>
  <c r="W14" i="3"/>
  <c r="W15" i="3"/>
  <c r="Q23" i="1"/>
  <c r="J23" i="1"/>
  <c r="K23" i="1"/>
  <c r="L23" i="1"/>
  <c r="N23" i="1"/>
  <c r="M23" i="1"/>
  <c r="O20" i="1"/>
  <c r="M20" i="1"/>
  <c r="N20" i="1"/>
  <c r="J20" i="1"/>
  <c r="K20" i="1"/>
  <c r="L20" i="1"/>
  <c r="O27" i="1"/>
  <c r="L27" i="1"/>
  <c r="M27" i="1"/>
  <c r="N27" i="1"/>
  <c r="K27" i="1"/>
  <c r="J27" i="1"/>
  <c r="Q24" i="1"/>
  <c r="K24" i="1"/>
  <c r="J24" i="1"/>
  <c r="L24" i="1"/>
  <c r="M24" i="1"/>
  <c r="N24" i="1"/>
  <c r="N25" i="1"/>
  <c r="M25" i="1"/>
  <c r="J25" i="1"/>
  <c r="K25" i="1"/>
  <c r="L25" i="1"/>
  <c r="Q25" i="1"/>
  <c r="O25" i="1"/>
  <c r="Q26" i="1"/>
  <c r="J26" i="1"/>
  <c r="K26" i="1"/>
  <c r="L26" i="1"/>
  <c r="M26" i="1"/>
  <c r="N26" i="1"/>
  <c r="Q21" i="1"/>
  <c r="J21" i="1"/>
  <c r="K21" i="1"/>
  <c r="L21" i="1"/>
  <c r="M21" i="1"/>
  <c r="N21" i="1"/>
  <c r="Q20" i="1"/>
  <c r="O24" i="1"/>
  <c r="O26" i="1"/>
  <c r="O23" i="1"/>
  <c r="O21" i="1"/>
  <c r="V10" i="1" s="1"/>
  <c r="W21" i="3" l="1"/>
  <c r="U21" i="3" s="1"/>
  <c r="W25" i="3"/>
  <c r="X25" i="3" s="1"/>
  <c r="W22" i="3"/>
  <c r="V22" i="3" s="1"/>
  <c r="W24" i="3"/>
  <c r="V24" i="3" s="1"/>
  <c r="W28" i="3"/>
  <c r="V28" i="3" s="1"/>
  <c r="W23" i="3"/>
  <c r="Q23" i="3" s="1"/>
  <c r="W29" i="3"/>
  <c r="Q29" i="3" s="1"/>
  <c r="W26" i="3"/>
  <c r="T26" i="3" s="1"/>
  <c r="W27" i="3"/>
  <c r="X27" i="3" s="1"/>
  <c r="T24" i="3"/>
  <c r="S24" i="3"/>
  <c r="U24" i="3"/>
  <c r="U20" i="1"/>
  <c r="X22" i="3"/>
  <c r="U22" i="3"/>
  <c r="R22" i="3"/>
  <c r="T22" i="3"/>
  <c r="Q22" i="3"/>
  <c r="S22" i="3"/>
  <c r="T28" i="3"/>
  <c r="V8" i="1"/>
  <c r="T23" i="1"/>
  <c r="U8" i="1"/>
  <c r="V20" i="1"/>
  <c r="V9" i="1"/>
  <c r="T8" i="1"/>
  <c r="T20" i="1"/>
  <c r="U24" i="1"/>
  <c r="U16" i="1"/>
  <c r="T26" i="1"/>
  <c r="T16" i="1"/>
  <c r="V14" i="1"/>
  <c r="U25" i="1"/>
  <c r="T28" i="1"/>
  <c r="T9" i="1"/>
  <c r="U11" i="1"/>
  <c r="V28" i="1"/>
  <c r="U10" i="1"/>
  <c r="V22" i="1"/>
  <c r="V11" i="1"/>
  <c r="V16" i="1"/>
  <c r="U23" i="1"/>
  <c r="T15" i="1"/>
  <c r="U9" i="1"/>
  <c r="T22" i="1"/>
  <c r="V21" i="1"/>
  <c r="U13" i="1"/>
  <c r="T14" i="1"/>
  <c r="U27" i="1"/>
  <c r="T24" i="1"/>
  <c r="V25" i="1"/>
  <c r="V26" i="1"/>
  <c r="V12" i="1"/>
  <c r="T10" i="1"/>
  <c r="W10" i="1" s="1"/>
  <c r="X10" i="1" s="1"/>
  <c r="U15" i="1"/>
  <c r="T13" i="1"/>
  <c r="T11" i="1"/>
  <c r="U26" i="1"/>
  <c r="V24" i="1"/>
  <c r="T27" i="1"/>
  <c r="V27" i="1"/>
  <c r="V13" i="1"/>
  <c r="U14" i="1"/>
  <c r="U28" i="1"/>
  <c r="V23" i="1"/>
  <c r="V15" i="1"/>
  <c r="U12" i="1"/>
  <c r="T12" i="1"/>
  <c r="T21" i="1"/>
  <c r="T25" i="1"/>
  <c r="U22" i="1"/>
  <c r="U21" i="1"/>
  <c r="X24" i="3" l="1"/>
  <c r="Q24" i="3"/>
  <c r="R24" i="3"/>
  <c r="Q28" i="3"/>
  <c r="U28" i="3"/>
  <c r="R29" i="3"/>
  <c r="U29" i="3"/>
  <c r="R28" i="3"/>
  <c r="X28" i="3"/>
  <c r="V25" i="3"/>
  <c r="X21" i="3"/>
  <c r="S21" i="3"/>
  <c r="R21" i="3"/>
  <c r="R26" i="3"/>
  <c r="T21" i="3"/>
  <c r="Q21" i="3"/>
  <c r="V21" i="3"/>
  <c r="AA8" i="3" s="1"/>
  <c r="T23" i="3"/>
  <c r="V23" i="3"/>
  <c r="U23" i="3"/>
  <c r="U26" i="3"/>
  <c r="S26" i="3"/>
  <c r="S27" i="3"/>
  <c r="X26" i="3"/>
  <c r="V29" i="3"/>
  <c r="T29" i="3"/>
  <c r="X29" i="3"/>
  <c r="S29" i="3"/>
  <c r="V27" i="3"/>
  <c r="X23" i="3"/>
  <c r="S23" i="3"/>
  <c r="R25" i="3"/>
  <c r="V26" i="3"/>
  <c r="U27" i="3"/>
  <c r="U25" i="3"/>
  <c r="Q26" i="3"/>
  <c r="T25" i="3"/>
  <c r="S25" i="3"/>
  <c r="T27" i="3"/>
  <c r="R23" i="3"/>
  <c r="R27" i="3"/>
  <c r="Q25" i="3"/>
  <c r="S28" i="3"/>
  <c r="Q27" i="3"/>
  <c r="W14" i="1"/>
  <c r="X14" i="1" s="1"/>
  <c r="W20" i="1"/>
  <c r="X20" i="1" s="1"/>
  <c r="W8" i="1"/>
  <c r="X8" i="1" s="1"/>
  <c r="W11" i="1"/>
  <c r="X11" i="1" s="1"/>
  <c r="W24" i="1"/>
  <c r="X24" i="1" s="1"/>
  <c r="W25" i="1"/>
  <c r="X25" i="1" s="1"/>
  <c r="W22" i="1"/>
  <c r="X22" i="1" s="1"/>
  <c r="W9" i="1"/>
  <c r="X9" i="1" s="1"/>
  <c r="W23" i="1"/>
  <c r="X23" i="1" s="1"/>
  <c r="W28" i="1"/>
  <c r="X28" i="1" s="1"/>
  <c r="W15" i="1"/>
  <c r="X15" i="1" s="1"/>
  <c r="W16" i="1"/>
  <c r="X16" i="1" s="1"/>
  <c r="W12" i="1"/>
  <c r="X12" i="1" s="1"/>
  <c r="W27" i="1"/>
  <c r="X27" i="1" s="1"/>
  <c r="W26" i="1"/>
  <c r="X26" i="1" s="1"/>
  <c r="W21" i="1"/>
  <c r="X21" i="1" s="1"/>
  <c r="W13" i="1"/>
  <c r="X13" i="1" s="1"/>
  <c r="AA12" i="3" l="1"/>
  <c r="AC9" i="3"/>
  <c r="AA11" i="3"/>
  <c r="AB21" i="3"/>
  <c r="AA9" i="3"/>
  <c r="AC8" i="3"/>
  <c r="AC10" i="3"/>
  <c r="AB9" i="3"/>
  <c r="AC23" i="3"/>
  <c r="AC24" i="3"/>
  <c r="AB11" i="3"/>
  <c r="AB22" i="3"/>
  <c r="AA21" i="3"/>
  <c r="AC22" i="3"/>
  <c r="AB24" i="3"/>
  <c r="AC25" i="3"/>
  <c r="AB12" i="3"/>
  <c r="AA22" i="3"/>
  <c r="AB25" i="3"/>
  <c r="AB10" i="3"/>
  <c r="AC11" i="3"/>
  <c r="AC21" i="3"/>
  <c r="AA10" i="3"/>
  <c r="AC12" i="3"/>
  <c r="AB8" i="3"/>
  <c r="AD8" i="3" s="1"/>
  <c r="AE8" i="3" s="1"/>
  <c r="AA14" i="3"/>
  <c r="AA24" i="3"/>
  <c r="AB28" i="3"/>
  <c r="AC15" i="3"/>
  <c r="AB23" i="3"/>
  <c r="AB27" i="3"/>
  <c r="AA28" i="3"/>
  <c r="AB13" i="3"/>
  <c r="AC27" i="3"/>
  <c r="AC26" i="3"/>
  <c r="AA13" i="3"/>
  <c r="AC16" i="3"/>
  <c r="AC14" i="3"/>
  <c r="AA29" i="3"/>
  <c r="AB16" i="3"/>
  <c r="AC13" i="3"/>
  <c r="AA25" i="3"/>
  <c r="AA27" i="3"/>
  <c r="AA15" i="3"/>
  <c r="AB29" i="3"/>
  <c r="AA23" i="3"/>
  <c r="AD23" i="3" s="1"/>
  <c r="AE23" i="3" s="1"/>
  <c r="AB14" i="3"/>
  <c r="AB26" i="3"/>
  <c r="AB15" i="3"/>
  <c r="AA26" i="3"/>
  <c r="AC29" i="3"/>
  <c r="AC28" i="3"/>
  <c r="AA16" i="3"/>
  <c r="O4" i="1"/>
  <c r="P4" i="1"/>
  <c r="AD12" i="3" l="1"/>
  <c r="AE12" i="3" s="1"/>
  <c r="AD9" i="3"/>
  <c r="AE9" i="3" s="1"/>
  <c r="AD13" i="3"/>
  <c r="AE13" i="3" s="1"/>
  <c r="AD10" i="3"/>
  <c r="AE10" i="3" s="1"/>
  <c r="AD21" i="3"/>
  <c r="AE21" i="3" s="1"/>
  <c r="AD22" i="3"/>
  <c r="AE22" i="3" s="1"/>
  <c r="AD24" i="3"/>
  <c r="AE24" i="3" s="1"/>
  <c r="AD11" i="3"/>
  <c r="AE11" i="3" s="1"/>
  <c r="AD25" i="3"/>
  <c r="AE25" i="3" s="1"/>
  <c r="AD14" i="3"/>
  <c r="AE14" i="3" s="1"/>
  <c r="V5" i="3"/>
  <c r="AD27" i="3"/>
  <c r="AE27" i="3" s="1"/>
  <c r="AD28" i="3"/>
  <c r="AE28" i="3" s="1"/>
  <c r="AD15" i="3"/>
  <c r="AE15" i="3" s="1"/>
  <c r="AD16" i="3"/>
  <c r="AE16" i="3" s="1"/>
  <c r="AD29" i="3"/>
  <c r="AE29" i="3" s="1"/>
  <c r="AD26" i="3"/>
  <c r="AE26" i="3" s="1"/>
  <c r="W5" i="3" s="1"/>
</calcChain>
</file>

<file path=xl/sharedStrings.xml><?xml version="1.0" encoding="utf-8"?>
<sst xmlns="http://schemas.openxmlformats.org/spreadsheetml/2006/main" count="320" uniqueCount="39">
  <si>
    <t>the sheet is protected by empty password right click on the sheet to unprotect</t>
  </si>
  <si>
    <t>Class Prediction using k-NN Classifier</t>
  </si>
  <si>
    <t>kNN</t>
  </si>
  <si>
    <t>SLength</t>
  </si>
  <si>
    <t>SWidth</t>
  </si>
  <si>
    <t>PLength</t>
  </si>
  <si>
    <t>PWidth</t>
  </si>
  <si>
    <t>Class Alg1</t>
  </si>
  <si>
    <t>Class Alg2</t>
  </si>
  <si>
    <t xml:space="preserve">Change the instance to see the effect </t>
  </si>
  <si>
    <t>mini-iris dataset</t>
  </si>
  <si>
    <t>1- Get Distances</t>
  </si>
  <si>
    <t>Algorithm1:    kNN majority vote</t>
  </si>
  <si>
    <t>ID</t>
  </si>
  <si>
    <t>Species</t>
  </si>
  <si>
    <t>Euclidian^2</t>
  </si>
  <si>
    <t>setosa</t>
  </si>
  <si>
    <t>versicolor</t>
  </si>
  <si>
    <t>virginica</t>
  </si>
  <si>
    <t>max</t>
  </si>
  <si>
    <t>Voted Class</t>
  </si>
  <si>
    <t>Rote Classifier (filter as necessary)</t>
  </si>
  <si>
    <t>2- Sort and obtain corresp classas per k</t>
  </si>
  <si>
    <t>Algorihtm2:     kNN weighted vote</t>
  </si>
  <si>
    <t>corresp. class</t>
  </si>
  <si>
    <t>Sorted Euc^2</t>
  </si>
  <si>
    <t>Weights ‎</t>
  </si>
  <si>
    <t>Try to change the dataset to see the effect on the kNN classification stages and the final results</t>
  </si>
  <si>
    <t>Rescaling</t>
  </si>
  <si>
    <t>Normalised mini-iris dataset</t>
  </si>
  <si>
    <t>Id</t>
  </si>
  <si>
    <t>SepalLengthCm</t>
  </si>
  <si>
    <t>SepalWidthCm</t>
  </si>
  <si>
    <t>PetalLengthCm</t>
  </si>
  <si>
    <t>PetalWidthCm</t>
  </si>
  <si>
    <t>Iris-setosa</t>
  </si>
  <si>
    <t>Iris-versicolor</t>
  </si>
  <si>
    <t>Iris-virginica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</si>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</sst>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rgb="FF000000"/>
      <name val="Perpetua"/>
      <family val="1"/>
    </font>
    <font>
      <sz val="11"/>
      <color rgb="FF000000"/>
      <name val="Perpetua"/>
      <family val="1"/>
    </font>
    <font>
      <b/>
      <sz val="16"/>
      <color theme="1"/>
      <name val="Perpetua"/>
      <family val="1"/>
    </font>
    <font>
      <b/>
      <sz val="20"/>
      <color theme="1"/>
      <name val="Perpetua"/>
      <family val="1"/>
    </font>
    <font>
      <b/>
      <sz val="14"/>
      <color rgb="FF000000"/>
      <name val="Perpetua"/>
      <family val="1"/>
    </font>
    <font>
      <sz val="14"/>
      <color theme="1"/>
      <name val="Arial"/>
      <family val="2"/>
    </font>
    <font>
      <sz val="14"/>
      <color rgb="FF000000"/>
      <name val="Perpetua"/>
      <family val="1"/>
    </font>
    <font>
      <sz val="16"/>
      <color theme="1"/>
      <name val="Arial"/>
      <family val="2"/>
    </font>
    <font>
      <sz val="16"/>
      <color theme="1"/>
      <name val="Perpetua"/>
      <family val="1"/>
    </font>
    <font>
      <sz val="16"/>
      <color rgb="FF000000"/>
      <name val="Perpetua"/>
      <family val="1"/>
    </font>
    <font>
      <sz val="15"/>
      <color rgb="FF7030A0"/>
      <name val="Arial"/>
      <family val="2"/>
    </font>
    <font>
      <sz val="12"/>
      <color theme="9"/>
      <name val="Arial"/>
      <family val="2"/>
    </font>
    <font>
      <b/>
      <sz val="26"/>
      <color theme="1"/>
      <name val="Perpetua"/>
      <family val="1"/>
    </font>
    <font>
      <sz val="20"/>
      <color theme="6" tint="-0.499984740745262"/>
      <name val="Arial"/>
      <family val="2"/>
    </font>
    <font>
      <sz val="22"/>
      <color theme="6" tint="-0.49998474074526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F5E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B4C6E7"/>
      </right>
      <top/>
      <bottom style="thick">
        <color rgb="FF8EAADB"/>
      </bottom>
      <diagonal/>
    </border>
    <border>
      <left/>
      <right style="medium">
        <color rgb="FFB4C6E7"/>
      </right>
      <top style="thin">
        <color theme="1"/>
      </top>
      <bottom style="medium">
        <color rgb="FFB4C6E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B4C6E7"/>
      </right>
      <top style="medium">
        <color indexed="64"/>
      </top>
      <bottom style="medium">
        <color rgb="FFB4C6E7"/>
      </bottom>
      <diagonal/>
    </border>
    <border>
      <left style="thin">
        <color indexed="64"/>
      </left>
      <right style="medium">
        <color rgb="FFB4C6E7"/>
      </right>
      <top style="medium">
        <color indexed="64"/>
      </top>
      <bottom style="medium">
        <color rgb="FFB4C6E7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B4C6E7"/>
      </bottom>
      <diagonal/>
    </border>
    <border>
      <left style="thin">
        <color indexed="64"/>
      </left>
      <right style="medium">
        <color rgb="FFB4C6E7"/>
      </right>
      <top/>
      <bottom style="medium">
        <color rgb="FFB4C6E7"/>
      </bottom>
      <diagonal/>
    </border>
    <border>
      <left style="medium">
        <color indexed="64"/>
      </left>
      <right style="medium">
        <color rgb="FFB4C6E7"/>
      </right>
      <top/>
      <bottom style="medium">
        <color rgb="FFB4C6E7"/>
      </bottom>
      <diagonal/>
    </border>
    <border>
      <left style="thin">
        <color indexed="64"/>
      </left>
      <right style="medium">
        <color indexed="64"/>
      </right>
      <top/>
      <bottom style="medium">
        <color rgb="FFB4C6E7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B4C6E7"/>
      </right>
      <top style="medium">
        <color indexed="64"/>
      </top>
      <bottom style="thick">
        <color rgb="FF8EAADB"/>
      </bottom>
      <diagonal/>
    </border>
    <border>
      <left/>
      <right style="medium">
        <color rgb="FFB4C6E7"/>
      </right>
      <top style="medium">
        <color indexed="64"/>
      </top>
      <bottom style="thick">
        <color rgb="FF8EAADB"/>
      </bottom>
      <diagonal/>
    </border>
    <border>
      <left/>
      <right style="medium">
        <color indexed="64"/>
      </right>
      <top style="medium">
        <color indexed="64"/>
      </top>
      <bottom style="thick">
        <color rgb="FF8EAADB"/>
      </bottom>
      <diagonal/>
    </border>
    <border>
      <left/>
      <right style="medium">
        <color indexed="64"/>
      </right>
      <top/>
      <bottom style="medium">
        <color rgb="FFB4C6E7"/>
      </bottom>
      <diagonal/>
    </border>
    <border>
      <left style="medium">
        <color indexed="64"/>
      </left>
      <right style="medium">
        <color rgb="FFB4C6E7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B4C6E7"/>
      </right>
      <top/>
      <bottom style="thick">
        <color rgb="FF8EAADB"/>
      </bottom>
      <diagonal/>
    </border>
    <border>
      <left/>
      <right style="medium">
        <color indexed="64"/>
      </right>
      <top/>
      <bottom style="thick">
        <color rgb="FF8EAADB"/>
      </bottom>
      <diagonal/>
    </border>
    <border>
      <left style="medium">
        <color indexed="64"/>
      </left>
      <right style="medium">
        <color rgb="FFB4C6E7"/>
      </right>
      <top style="thin">
        <color theme="1"/>
      </top>
      <bottom style="medium">
        <color rgb="FFB4C6E7"/>
      </bottom>
      <diagonal/>
    </border>
    <border>
      <left style="medium">
        <color indexed="64"/>
      </left>
      <right style="medium">
        <color rgb="FFB4C6E7"/>
      </right>
      <top style="thin">
        <color theme="1"/>
      </top>
      <bottom style="medium">
        <color indexed="64"/>
      </bottom>
      <diagonal/>
    </border>
    <border>
      <left/>
      <right style="medium">
        <color rgb="FFB4C6E7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rgb="FFB4C6E7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2">
    <xf numFmtId="0" fontId="0" fillId="0" borderId="0" xfId="0"/>
    <xf numFmtId="0" fontId="0" fillId="0" borderId="0" xfId="0" applyBorder="1"/>
    <xf numFmtId="0" fontId="18" fillId="0" borderId="23" xfId="0" applyFont="1" applyBorder="1" applyAlignment="1">
      <alignment horizontal="right" vertical="center" wrapText="1"/>
    </xf>
    <xf numFmtId="0" fontId="19" fillId="0" borderId="31" xfId="0" applyFont="1" applyBorder="1" applyAlignment="1">
      <alignment horizontal="center" vertical="center" wrapText="1"/>
    </xf>
    <xf numFmtId="0" fontId="0" fillId="0" borderId="36" xfId="0" applyBorder="1"/>
    <xf numFmtId="0" fontId="0" fillId="0" borderId="20" xfId="0" applyBorder="1"/>
    <xf numFmtId="0" fontId="0" fillId="0" borderId="37" xfId="0" applyBorder="1"/>
    <xf numFmtId="0" fontId="0" fillId="0" borderId="38" xfId="0" applyBorder="1"/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0" fillId="0" borderId="39" xfId="0" applyBorder="1"/>
    <xf numFmtId="0" fontId="0" fillId="0" borderId="28" xfId="0" applyBorder="1"/>
    <xf numFmtId="0" fontId="0" fillId="0" borderId="40" xfId="0" applyBorder="1"/>
    <xf numFmtId="0" fontId="22" fillId="0" borderId="24" xfId="0" applyFont="1" applyBorder="1" applyAlignment="1">
      <alignment horizontal="right" vertical="center"/>
    </xf>
    <xf numFmtId="0" fontId="22" fillId="33" borderId="25" xfId="0" applyFont="1" applyFill="1" applyBorder="1" applyAlignment="1">
      <alignment vertical="center"/>
    </xf>
    <xf numFmtId="0" fontId="23" fillId="0" borderId="0" xfId="0" applyFont="1" applyBorder="1"/>
    <xf numFmtId="0" fontId="23" fillId="0" borderId="12" xfId="0" applyFont="1" applyBorder="1" applyAlignment="1">
      <alignment horizontal="center"/>
    </xf>
    <xf numFmtId="0" fontId="24" fillId="33" borderId="12" xfId="0" applyFont="1" applyFill="1" applyBorder="1" applyAlignment="1">
      <alignment horizontal="center" vertical="center"/>
    </xf>
    <xf numFmtId="0" fontId="24" fillId="33" borderId="19" xfId="0" applyFont="1" applyFill="1" applyBorder="1" applyAlignment="1">
      <alignment horizontal="center" vertical="center"/>
    </xf>
    <xf numFmtId="0" fontId="23" fillId="0" borderId="37" xfId="0" applyFont="1" applyBorder="1"/>
    <xf numFmtId="0" fontId="24" fillId="0" borderId="11" xfId="0" applyFont="1" applyBorder="1" applyAlignment="1">
      <alignment horizontal="center" vertical="center"/>
    </xf>
    <xf numFmtId="0" fontId="24" fillId="33" borderId="26" xfId="0" applyFont="1" applyFill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33" borderId="28" xfId="0" applyFont="1" applyFill="1" applyBorder="1" applyAlignment="1">
      <alignment vertical="center"/>
    </xf>
    <xf numFmtId="0" fontId="24" fillId="0" borderId="27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2" fillId="0" borderId="29" xfId="0" applyFont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/>
    </xf>
    <xf numFmtId="0" fontId="22" fillId="33" borderId="30" xfId="0" applyFont="1" applyFill="1" applyBorder="1" applyAlignment="1">
      <alignment vertical="center"/>
    </xf>
    <xf numFmtId="0" fontId="22" fillId="0" borderId="23" xfId="0" applyFont="1" applyBorder="1" applyAlignment="1">
      <alignment horizontal="right" vertical="center" wrapText="1"/>
    </xf>
    <xf numFmtId="0" fontId="22" fillId="0" borderId="28" xfId="0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/>
    </xf>
    <xf numFmtId="0" fontId="24" fillId="33" borderId="34" xfId="0" applyFont="1" applyFill="1" applyBorder="1" applyAlignment="1">
      <alignment horizontal="center" vertical="center"/>
    </xf>
    <xf numFmtId="0" fontId="24" fillId="33" borderId="28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2" fontId="24" fillId="0" borderId="16" xfId="0" applyNumberFormat="1" applyFont="1" applyBorder="1" applyAlignment="1">
      <alignment horizontal="center" vertical="center"/>
    </xf>
    <xf numFmtId="2" fontId="24" fillId="0" borderId="18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 wrapText="1"/>
    </xf>
    <xf numFmtId="2" fontId="24" fillId="0" borderId="41" xfId="0" applyNumberFormat="1" applyFont="1" applyBorder="1" applyAlignment="1">
      <alignment horizontal="center" vertical="center"/>
    </xf>
    <xf numFmtId="2" fontId="24" fillId="0" borderId="4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right" vertical="center"/>
    </xf>
    <xf numFmtId="0" fontId="22" fillId="0" borderId="25" xfId="0" applyFont="1" applyBorder="1" applyAlignment="1">
      <alignment horizontal="right" vertical="center"/>
    </xf>
    <xf numFmtId="0" fontId="20" fillId="0" borderId="35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7" fillId="33" borderId="26" xfId="0" applyFont="1" applyFill="1" applyBorder="1" applyAlignment="1">
      <alignment vertical="center"/>
    </xf>
    <xf numFmtId="0" fontId="20" fillId="35" borderId="40" xfId="0" applyFont="1" applyFill="1" applyBorder="1" applyAlignment="1">
      <alignment horizontal="center" vertical="center"/>
    </xf>
    <xf numFmtId="0" fontId="20" fillId="36" borderId="38" xfId="0" applyFont="1" applyFill="1" applyBorder="1" applyAlignment="1">
      <alignment horizontal="center" vertical="center"/>
    </xf>
    <xf numFmtId="0" fontId="26" fillId="0" borderId="39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wrapText="1"/>
    </xf>
    <xf numFmtId="0" fontId="25" fillId="0" borderId="37" xfId="0" applyFont="1" applyBorder="1" applyAlignment="1">
      <alignment wrapText="1"/>
    </xf>
    <xf numFmtId="0" fontId="29" fillId="0" borderId="0" xfId="0" applyFont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24" fillId="0" borderId="11" xfId="0" applyNumberFormat="1" applyFont="1" applyBorder="1" applyAlignment="1">
      <alignment horizontal="center" vertical="center"/>
    </xf>
    <xf numFmtId="2" fontId="24" fillId="0" borderId="33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wrapText="1"/>
    </xf>
    <xf numFmtId="0" fontId="27" fillId="33" borderId="28" xfId="0" applyFont="1" applyFill="1" applyBorder="1" applyAlignment="1">
      <alignment vertical="center"/>
    </xf>
    <xf numFmtId="2" fontId="26" fillId="0" borderId="20" xfId="0" applyNumberFormat="1" applyFont="1" applyBorder="1" applyAlignment="1" applyProtection="1">
      <alignment horizontal="center" vertical="center"/>
      <protection locked="0"/>
    </xf>
    <xf numFmtId="164" fontId="24" fillId="0" borderId="18" xfId="0" applyNumberFormat="1" applyFont="1" applyBorder="1" applyAlignment="1">
      <alignment horizontal="center" vertical="center"/>
    </xf>
    <xf numFmtId="164" fontId="24" fillId="0" borderId="42" xfId="0" applyNumberFormat="1" applyFont="1" applyBorder="1" applyAlignment="1">
      <alignment horizontal="center" vertical="center"/>
    </xf>
    <xf numFmtId="164" fontId="0" fillId="0" borderId="0" xfId="0" applyNumberFormat="1"/>
    <xf numFmtId="0" fontId="30" fillId="0" borderId="39" xfId="0" applyFont="1" applyBorder="1" applyAlignment="1" applyProtection="1">
      <alignment horizontal="center" vertical="center"/>
      <protection locked="0"/>
    </xf>
    <xf numFmtId="0" fontId="21" fillId="34" borderId="21" xfId="0" applyFont="1" applyFill="1" applyBorder="1" applyAlignment="1">
      <alignment horizontal="center"/>
    </xf>
    <xf numFmtId="0" fontId="21" fillId="34" borderId="22" xfId="0" applyFont="1" applyFill="1" applyBorder="1" applyAlignment="1">
      <alignment horizontal="center"/>
    </xf>
    <xf numFmtId="0" fontId="21" fillId="34" borderId="19" xfId="0" applyFont="1" applyFill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35" borderId="21" xfId="0" applyFont="1" applyFill="1" applyBorder="1" applyAlignment="1">
      <alignment horizontal="center"/>
    </xf>
    <xf numFmtId="0" fontId="21" fillId="35" borderId="22" xfId="0" applyFont="1" applyFill="1" applyBorder="1" applyAlignment="1">
      <alignment horizontal="center"/>
    </xf>
    <xf numFmtId="0" fontId="21" fillId="35" borderId="19" xfId="0" applyFont="1" applyFill="1" applyBorder="1" applyAlignment="1">
      <alignment horizontal="center"/>
    </xf>
    <xf numFmtId="0" fontId="21" fillId="36" borderId="21" xfId="0" applyFont="1" applyFill="1" applyBorder="1" applyAlignment="1">
      <alignment horizontal="center"/>
    </xf>
    <xf numFmtId="0" fontId="21" fillId="36" borderId="22" xfId="0" applyFont="1" applyFill="1" applyBorder="1" applyAlignment="1">
      <alignment horizontal="center"/>
    </xf>
    <xf numFmtId="0" fontId="21" fillId="36" borderId="19" xfId="0" applyFont="1" applyFill="1" applyBorder="1" applyAlignment="1">
      <alignment horizontal="center"/>
    </xf>
    <xf numFmtId="0" fontId="28" fillId="0" borderId="0" xfId="0" applyFont="1" applyAlignment="1">
      <alignment horizontal="center" wrapText="1"/>
    </xf>
    <xf numFmtId="0" fontId="28" fillId="0" borderId="37" xfId="0" applyFont="1" applyBorder="1" applyAlignment="1">
      <alignment horizontal="center" wrapText="1"/>
    </xf>
    <xf numFmtId="0" fontId="31" fillId="0" borderId="0" xfId="0" applyFont="1" applyBorder="1" applyAlignment="1">
      <alignment horizontal="center" wrapText="1"/>
    </xf>
    <xf numFmtId="0" fontId="32" fillId="0" borderId="20" xfId="0" applyFont="1" applyBorder="1" applyAlignment="1">
      <alignment horizontal="center"/>
    </xf>
    <xf numFmtId="0" fontId="31" fillId="0" borderId="0" xfId="0" applyFont="1" applyAlignment="1">
      <alignment horizontal="center" wrapText="1"/>
    </xf>
    <xf numFmtId="0" fontId="31" fillId="0" borderId="37" xfId="0" applyFont="1" applyBorder="1" applyAlignment="1">
      <alignment horizontal="center" wrapText="1"/>
    </xf>
    <xf numFmtId="0" fontId="21" fillId="0" borderId="3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28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fill>
        <patternFill patternType="solid">
          <fgColor indexed="64"/>
          <bgColor rgb="FFEDF5E7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left style="medium">
          <color rgb="FFB4C6E7"/>
        </left>
        <right style="medium">
          <color rgb="FFB4C6E7"/>
        </right>
        <top style="medium">
          <color rgb="FFB4C6E7"/>
        </top>
        <bottom style="medium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right" vertical="center" textRotation="0" wrapText="0" indent="0" justifyLastLine="0" shrinkToFit="0" readingOrder="0"/>
      <border diagonalUp="0" diagonalDown="0" outline="0">
        <left style="medium">
          <color rgb="FFB4C6E7"/>
        </left>
        <right style="medium">
          <color rgb="FFB4C6E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fill>
        <patternFill patternType="solid">
          <fgColor indexed="64"/>
          <bgColor rgb="FFEDF5E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border outline="0">
        <left style="medium">
          <color rgb="FFB4C6E7"/>
        </left>
        <right style="medium">
          <color rgb="FFB4C6E7"/>
        </right>
        <top style="medium">
          <color rgb="FFB4C6E7"/>
        </top>
        <bottom style="medium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right" vertical="center" textRotation="0" wrapText="0" indent="0" justifyLastLine="0" shrinkToFit="0" readingOrder="0"/>
      <border diagonalUp="0" diagonalDown="0" outline="0">
        <left style="medium">
          <color rgb="FFB4C6E7"/>
        </left>
        <right style="medium">
          <color rgb="FFB4C6E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2" name="Table2" displayName="Table2" ref="B19:G28" totalsRowShown="0" headerRowDxfId="19" dataDxfId="17" headerRowBorderDxfId="18" tableBorderDxfId="16">
  <autoFilter ref="B19:G28"/>
  <tableColumns count="6">
    <tableColumn id="1" name="ID" dataDxfId="15"/>
    <tableColumn id="2" name="SLength" dataDxfId="14"/>
    <tableColumn id="3" name="SWidth" dataDxfId="13"/>
    <tableColumn id="4" name="PLength" dataDxfId="12"/>
    <tableColumn id="5" name="PWidth" dataDxfId="11"/>
    <tableColumn id="6" name="Species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4" name="Table25" displayName="Table25" ref="B20:G29" totalsRowShown="0" headerRowDxfId="9" dataDxfId="7" headerRowBorderDxfId="8" tableBorderDxfId="6">
  <autoFilter ref="B20:G29"/>
  <tableColumns count="6">
    <tableColumn id="1" name="ID" dataDxfId="5"/>
    <tableColumn id="2" name="SLength" dataDxfId="4"/>
    <tableColumn id="3" name="SWidth" dataDxfId="3"/>
    <tableColumn id="4" name="PLength" dataDxfId="2"/>
    <tableColumn id="5" name="PWidth" dataDxfId="1"/>
    <tableColumn id="6" name="Species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B3:G153" totalsRowShown="0">
  <autoFilter ref="B3:G153">
    <filterColumn colId="2">
      <filters>
        <filter val="3.5"/>
      </filters>
    </filterColumn>
    <filterColumn colId="4">
      <filters>
        <filter val="0.2"/>
      </filters>
    </filterColumn>
  </autoFilter>
  <tableColumns count="6">
    <tableColumn id="1" name="Id"/>
    <tableColumn id="2" name="SepalLengthCm"/>
    <tableColumn id="3" name="SepalWidthCm"/>
    <tableColumn id="4" name="PetalLengthCm"/>
    <tableColumn id="5" name="PetalWidthCm"/>
    <tableColumn id="6" name="Speci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9"/>
  <sheetViews>
    <sheetView topLeftCell="B1" zoomScale="85" zoomScaleNormal="85" workbookViewId="0">
      <selection activeCell="J11" sqref="J11"/>
    </sheetView>
  </sheetViews>
  <sheetFormatPr defaultRowHeight="12.75" x14ac:dyDescent="0.2"/>
  <cols>
    <col min="1" max="1" width="1.85546875" customWidth="1"/>
    <col min="2" max="14" width="12.7109375" customWidth="1"/>
    <col min="15" max="15" width="14.7109375" customWidth="1"/>
    <col min="16" max="16" width="15.28515625" customWidth="1"/>
    <col min="17" max="17" width="16.5703125" customWidth="1"/>
    <col min="18" max="25" width="12.7109375" customWidth="1"/>
  </cols>
  <sheetData>
    <row r="1" spans="2:25" ht="13.5" thickBot="1" x14ac:dyDescent="0.25"/>
    <row r="2" spans="2:25" ht="24.95" customHeight="1" thickBot="1" x14ac:dyDescent="0.55000000000000004">
      <c r="C2" s="58" t="s">
        <v>0</v>
      </c>
      <c r="G2" s="56"/>
      <c r="H2" s="56"/>
      <c r="I2" s="57"/>
      <c r="J2" s="74" t="s">
        <v>1</v>
      </c>
      <c r="K2" s="75"/>
      <c r="L2" s="75"/>
      <c r="M2" s="75"/>
      <c r="N2" s="75"/>
      <c r="O2" s="75"/>
      <c r="P2" s="76"/>
    </row>
    <row r="3" spans="2:25" ht="24.95" customHeight="1" x14ac:dyDescent="0.3">
      <c r="F3" s="56"/>
      <c r="G3" s="56"/>
      <c r="H3" s="56"/>
      <c r="I3" s="57"/>
      <c r="J3" s="49" t="s">
        <v>2</v>
      </c>
      <c r="K3" s="50" t="s">
        <v>3</v>
      </c>
      <c r="L3" s="50" t="s">
        <v>4</v>
      </c>
      <c r="M3" s="50" t="s">
        <v>5</v>
      </c>
      <c r="N3" s="50" t="s">
        <v>6</v>
      </c>
      <c r="O3" s="52" t="s">
        <v>7</v>
      </c>
      <c r="P3" s="53" t="s">
        <v>8</v>
      </c>
    </row>
    <row r="4" spans="2:25" ht="24.95" customHeight="1" thickBot="1" x14ac:dyDescent="0.3">
      <c r="F4" s="83" t="s">
        <v>9</v>
      </c>
      <c r="G4" s="83"/>
      <c r="H4" s="83"/>
      <c r="I4" s="84"/>
      <c r="J4" s="70">
        <v>6</v>
      </c>
      <c r="K4" s="55">
        <v>6.1</v>
      </c>
      <c r="L4" s="55">
        <v>3.5</v>
      </c>
      <c r="M4" s="55">
        <v>4.7</v>
      </c>
      <c r="N4" s="55">
        <v>0.2</v>
      </c>
      <c r="O4" s="51" t="str">
        <f>INDEX(X8:X16,MATCH(J4,S8:S16))</f>
        <v>versicolor</v>
      </c>
      <c r="P4" s="51" t="str">
        <f>INDEX(X20:X28,MATCH(J4,S20:S28))</f>
        <v>versicolor</v>
      </c>
    </row>
    <row r="5" spans="2:25" ht="13.5" thickBot="1" x14ac:dyDescent="0.25"/>
    <row r="6" spans="2:25" ht="35.25" customHeight="1" thickBot="1" x14ac:dyDescent="0.55000000000000004">
      <c r="B6" s="74" t="s">
        <v>10</v>
      </c>
      <c r="C6" s="75"/>
      <c r="D6" s="75"/>
      <c r="E6" s="75"/>
      <c r="F6" s="75"/>
      <c r="G6" s="75"/>
      <c r="H6" s="12"/>
      <c r="I6" s="12"/>
      <c r="J6" s="71" t="s">
        <v>11</v>
      </c>
      <c r="K6" s="72"/>
      <c r="L6" s="72"/>
      <c r="M6" s="72"/>
      <c r="N6" s="72"/>
      <c r="O6" s="72"/>
      <c r="P6" s="73"/>
      <c r="Q6" s="12"/>
      <c r="R6" s="12"/>
      <c r="S6" s="77" t="s">
        <v>12</v>
      </c>
      <c r="T6" s="78"/>
      <c r="U6" s="78"/>
      <c r="V6" s="78"/>
      <c r="W6" s="78"/>
      <c r="X6" s="79"/>
      <c r="Y6" s="7"/>
    </row>
    <row r="7" spans="2:25" ht="20.25" thickBot="1" x14ac:dyDescent="0.3">
      <c r="B7" s="2" t="s">
        <v>13</v>
      </c>
      <c r="C7" s="13" t="s">
        <v>3</v>
      </c>
      <c r="D7" s="13" t="s">
        <v>4</v>
      </c>
      <c r="E7" s="13" t="s">
        <v>5</v>
      </c>
      <c r="F7" s="13" t="s">
        <v>6</v>
      </c>
      <c r="G7" s="14" t="s">
        <v>14</v>
      </c>
      <c r="H7" s="15"/>
      <c r="I7" s="15"/>
      <c r="J7" s="47" t="s">
        <v>13</v>
      </c>
      <c r="K7" s="13" t="s">
        <v>3</v>
      </c>
      <c r="L7" s="13" t="s">
        <v>4</v>
      </c>
      <c r="M7" s="13" t="s">
        <v>5</v>
      </c>
      <c r="N7" s="13" t="s">
        <v>6</v>
      </c>
      <c r="O7" s="13"/>
      <c r="P7" s="48" t="s">
        <v>15</v>
      </c>
      <c r="Q7" s="15"/>
      <c r="R7" s="15"/>
      <c r="S7" s="16" t="s">
        <v>2</v>
      </c>
      <c r="T7" s="17" t="s">
        <v>16</v>
      </c>
      <c r="U7" s="18" t="s">
        <v>17</v>
      </c>
      <c r="V7" s="18" t="s">
        <v>18</v>
      </c>
      <c r="W7" s="17" t="s">
        <v>19</v>
      </c>
      <c r="X7" s="18" t="s">
        <v>20</v>
      </c>
      <c r="Y7" s="19"/>
    </row>
    <row r="8" spans="2:25" ht="21" thickTop="1" thickBot="1" x14ac:dyDescent="0.3">
      <c r="B8" s="3">
        <v>1</v>
      </c>
      <c r="C8" s="20">
        <v>5.0999999999999996</v>
      </c>
      <c r="D8" s="20">
        <v>3.5</v>
      </c>
      <c r="E8" s="20">
        <v>1.4</v>
      </c>
      <c r="F8" s="20">
        <v>0.2</v>
      </c>
      <c r="G8" s="21" t="s">
        <v>16</v>
      </c>
      <c r="H8" s="15"/>
      <c r="I8" s="15"/>
      <c r="J8" s="26">
        <v>1</v>
      </c>
      <c r="K8" s="22">
        <f t="shared" ref="K8:K16" si="0">(K$4-$C8)^2</f>
        <v>1</v>
      </c>
      <c r="L8" s="22">
        <f t="shared" ref="L8:L16" si="1">(L$4-$D8)^2</f>
        <v>0</v>
      </c>
      <c r="M8" s="22">
        <f t="shared" ref="M8:M16" si="2">(M$4-$E8)^2</f>
        <v>10.890000000000002</v>
      </c>
      <c r="N8" s="22">
        <f t="shared" ref="N8:N16" si="3">(N$4-$F8)^2</f>
        <v>0</v>
      </c>
      <c r="O8" s="22"/>
      <c r="P8" s="27">
        <f t="shared" ref="P8:P16" si="4">SUM(K8:N8)</f>
        <v>11.890000000000002</v>
      </c>
      <c r="Q8" s="15"/>
      <c r="R8" s="15"/>
      <c r="S8" s="23">
        <v>1</v>
      </c>
      <c r="T8" s="24">
        <f>COUNTIF($O$20:$O20,$T$7)</f>
        <v>0</v>
      </c>
      <c r="U8" s="24">
        <f>COUNTIF($O$20:$O20,$U$7)</f>
        <v>1</v>
      </c>
      <c r="V8" s="24">
        <f>COUNTIF($O$20:$O20,$V$7)</f>
        <v>0</v>
      </c>
      <c r="W8" s="24">
        <f t="shared" ref="W8:W13" si="5">MAX(T8:V8)</f>
        <v>1</v>
      </c>
      <c r="X8" s="25" t="str">
        <f>INDEX($T$7:$V$7,MATCH(W8,T8:V8,0))</f>
        <v>versicolor</v>
      </c>
      <c r="Y8" s="19"/>
    </row>
    <row r="9" spans="2:25" ht="20.25" thickBot="1" x14ac:dyDescent="0.3">
      <c r="B9" s="8">
        <v>2</v>
      </c>
      <c r="C9" s="20">
        <v>4.9000000000000004</v>
      </c>
      <c r="D9" s="20">
        <v>3</v>
      </c>
      <c r="E9" s="20">
        <v>1.4</v>
      </c>
      <c r="F9" s="20">
        <v>0.2</v>
      </c>
      <c r="G9" s="21" t="s">
        <v>16</v>
      </c>
      <c r="H9" s="15"/>
      <c r="I9" s="15"/>
      <c r="J9" s="26">
        <v>2</v>
      </c>
      <c r="K9" s="22">
        <f t="shared" si="0"/>
        <v>1.4399999999999984</v>
      </c>
      <c r="L9" s="22">
        <f t="shared" si="1"/>
        <v>0.25</v>
      </c>
      <c r="M9" s="22">
        <f t="shared" si="2"/>
        <v>10.890000000000002</v>
      </c>
      <c r="N9" s="22">
        <f t="shared" si="3"/>
        <v>0</v>
      </c>
      <c r="O9" s="22"/>
      <c r="P9" s="27">
        <f t="shared" si="4"/>
        <v>12.58</v>
      </c>
      <c r="Q9" s="15"/>
      <c r="R9" s="15"/>
      <c r="S9" s="26">
        <v>2</v>
      </c>
      <c r="T9" s="22">
        <f>COUNTIF($O$20:$O21,$T$7)</f>
        <v>0</v>
      </c>
      <c r="U9" s="22">
        <f>COUNTIF($O$20:$O21,$U$7)</f>
        <v>2</v>
      </c>
      <c r="V9" s="22">
        <f>COUNTIF($O$20:$O21,$V$7)</f>
        <v>0</v>
      </c>
      <c r="W9" s="22">
        <f t="shared" si="5"/>
        <v>2</v>
      </c>
      <c r="X9" s="27" t="str">
        <f t="shared" ref="X9:X16" si="6">INDEX($T$7:$V$7,MATCH(W9,T9:V9,0))</f>
        <v>versicolor</v>
      </c>
      <c r="Y9" s="19"/>
    </row>
    <row r="10" spans="2:25" ht="20.25" thickBot="1" x14ac:dyDescent="0.3">
      <c r="B10" s="8">
        <v>3</v>
      </c>
      <c r="C10" s="20">
        <v>5.5</v>
      </c>
      <c r="D10" s="20">
        <v>3.5</v>
      </c>
      <c r="E10" s="20">
        <v>1.3</v>
      </c>
      <c r="F10" s="20">
        <v>0.2</v>
      </c>
      <c r="G10" s="21" t="s">
        <v>16</v>
      </c>
      <c r="H10" s="15"/>
      <c r="I10" s="15"/>
      <c r="J10" s="26">
        <v>3</v>
      </c>
      <c r="K10" s="22">
        <f t="shared" si="0"/>
        <v>0.3599999999999996</v>
      </c>
      <c r="L10" s="22">
        <f t="shared" si="1"/>
        <v>0</v>
      </c>
      <c r="M10" s="22">
        <f t="shared" si="2"/>
        <v>11.560000000000002</v>
      </c>
      <c r="N10" s="22">
        <f t="shared" si="3"/>
        <v>0</v>
      </c>
      <c r="O10" s="22"/>
      <c r="P10" s="27">
        <f t="shared" si="4"/>
        <v>11.920000000000002</v>
      </c>
      <c r="Q10" s="15"/>
      <c r="R10" s="15"/>
      <c r="S10" s="26">
        <v>3</v>
      </c>
      <c r="T10" s="22">
        <f>COUNTIF($O$20:$O22,$T$7)</f>
        <v>0</v>
      </c>
      <c r="U10" s="22">
        <f>COUNTIF($O$20:$O22,$U$7)</f>
        <v>3</v>
      </c>
      <c r="V10" s="22">
        <f>COUNTIF($O$20:$O22,$V$7)</f>
        <v>0</v>
      </c>
      <c r="W10" s="22">
        <f t="shared" si="5"/>
        <v>3</v>
      </c>
      <c r="X10" s="27" t="str">
        <f t="shared" si="6"/>
        <v>versicolor</v>
      </c>
      <c r="Y10" s="19"/>
    </row>
    <row r="11" spans="2:25" ht="20.25" thickBot="1" x14ac:dyDescent="0.3">
      <c r="B11" s="8">
        <v>4</v>
      </c>
      <c r="C11" s="20">
        <v>6.1</v>
      </c>
      <c r="D11" s="20">
        <v>2.9</v>
      </c>
      <c r="E11" s="20">
        <v>4.7</v>
      </c>
      <c r="F11" s="20">
        <v>1.4</v>
      </c>
      <c r="G11" s="21" t="s">
        <v>17</v>
      </c>
      <c r="H11" s="15"/>
      <c r="I11" s="15"/>
      <c r="J11" s="26">
        <v>4</v>
      </c>
      <c r="K11" s="22">
        <f t="shared" si="0"/>
        <v>0</v>
      </c>
      <c r="L11" s="22">
        <f t="shared" si="1"/>
        <v>0.3600000000000001</v>
      </c>
      <c r="M11" s="22">
        <f t="shared" si="2"/>
        <v>0</v>
      </c>
      <c r="N11" s="22">
        <f t="shared" si="3"/>
        <v>1.44</v>
      </c>
      <c r="O11" s="22"/>
      <c r="P11" s="27">
        <f t="shared" si="4"/>
        <v>1.8</v>
      </c>
      <c r="Q11" s="15"/>
      <c r="R11" s="15"/>
      <c r="S11" s="26">
        <v>4</v>
      </c>
      <c r="T11" s="22">
        <f>COUNTIF($O$20:$O23,$T$7)</f>
        <v>0</v>
      </c>
      <c r="U11" s="22">
        <f>COUNTIF($O$20:$O23,$U$7)</f>
        <v>3</v>
      </c>
      <c r="V11" s="22">
        <f>COUNTIF($O$20:$O23,$V$7)</f>
        <v>1</v>
      </c>
      <c r="W11" s="22">
        <f t="shared" si="5"/>
        <v>3</v>
      </c>
      <c r="X11" s="27" t="str">
        <f t="shared" si="6"/>
        <v>versicolor</v>
      </c>
      <c r="Y11" s="19"/>
    </row>
    <row r="12" spans="2:25" ht="20.25" thickBot="1" x14ac:dyDescent="0.3">
      <c r="B12" s="8">
        <v>5</v>
      </c>
      <c r="C12" s="20">
        <v>6.1</v>
      </c>
      <c r="D12" s="20">
        <v>3</v>
      </c>
      <c r="E12" s="20">
        <v>4.5999999999999996</v>
      </c>
      <c r="F12" s="20">
        <v>1.4</v>
      </c>
      <c r="G12" s="21" t="s">
        <v>17</v>
      </c>
      <c r="H12" s="15"/>
      <c r="I12" s="15"/>
      <c r="J12" s="26">
        <v>5</v>
      </c>
      <c r="K12" s="22">
        <f t="shared" si="0"/>
        <v>0</v>
      </c>
      <c r="L12" s="22">
        <f t="shared" si="1"/>
        <v>0.25</v>
      </c>
      <c r="M12" s="22">
        <f t="shared" si="2"/>
        <v>1.0000000000000106E-2</v>
      </c>
      <c r="N12" s="22">
        <f t="shared" si="3"/>
        <v>1.44</v>
      </c>
      <c r="O12" s="22"/>
      <c r="P12" s="27">
        <f t="shared" si="4"/>
        <v>1.7000000000000002</v>
      </c>
      <c r="Q12" s="15"/>
      <c r="R12" s="15"/>
      <c r="S12" s="26">
        <v>5</v>
      </c>
      <c r="T12" s="22">
        <f>COUNTIF($O$20:$O24,$T$7)</f>
        <v>0</v>
      </c>
      <c r="U12" s="22">
        <f>COUNTIF($O$20:$O24,$U$7)</f>
        <v>3</v>
      </c>
      <c r="V12" s="22">
        <f>COUNTIF($O$20:$O24,$V$7)</f>
        <v>2</v>
      </c>
      <c r="W12" s="22">
        <f t="shared" si="5"/>
        <v>3</v>
      </c>
      <c r="X12" s="27" t="str">
        <f t="shared" si="6"/>
        <v>versicolor</v>
      </c>
      <c r="Y12" s="19"/>
    </row>
    <row r="13" spans="2:25" ht="20.25" thickBot="1" x14ac:dyDescent="0.3">
      <c r="B13" s="8">
        <v>6</v>
      </c>
      <c r="C13" s="20">
        <v>6.1</v>
      </c>
      <c r="D13" s="20">
        <v>2.8</v>
      </c>
      <c r="E13" s="20">
        <v>4.7</v>
      </c>
      <c r="F13" s="20">
        <v>1.2</v>
      </c>
      <c r="G13" s="21" t="s">
        <v>17</v>
      </c>
      <c r="H13" s="15"/>
      <c r="I13" s="15"/>
      <c r="J13" s="26">
        <v>6</v>
      </c>
      <c r="K13" s="22">
        <f t="shared" si="0"/>
        <v>0</v>
      </c>
      <c r="L13" s="22">
        <f t="shared" si="1"/>
        <v>0.49000000000000027</v>
      </c>
      <c r="M13" s="22">
        <f t="shared" si="2"/>
        <v>0</v>
      </c>
      <c r="N13" s="22">
        <f t="shared" si="3"/>
        <v>1</v>
      </c>
      <c r="O13" s="22"/>
      <c r="P13" s="27">
        <f t="shared" si="4"/>
        <v>1.4900000000000002</v>
      </c>
      <c r="Q13" s="15"/>
      <c r="R13" s="15"/>
      <c r="S13" s="26">
        <v>6</v>
      </c>
      <c r="T13" s="22">
        <f>COUNTIF($O$20:$O25,$T$7)</f>
        <v>0</v>
      </c>
      <c r="U13" s="22">
        <f>COUNTIF($O$20:$O25,$U$7)</f>
        <v>3</v>
      </c>
      <c r="V13" s="22">
        <f>COUNTIF($O$20:$O25,$V$7)</f>
        <v>3</v>
      </c>
      <c r="W13" s="22">
        <f t="shared" si="5"/>
        <v>3</v>
      </c>
      <c r="X13" s="27" t="str">
        <f t="shared" si="6"/>
        <v>versicolor</v>
      </c>
      <c r="Y13" s="19"/>
    </row>
    <row r="14" spans="2:25" ht="20.25" thickBot="1" x14ac:dyDescent="0.3">
      <c r="B14" s="8">
        <v>7</v>
      </c>
      <c r="C14" s="20">
        <v>6.1</v>
      </c>
      <c r="D14" s="20">
        <v>2.6</v>
      </c>
      <c r="E14" s="20">
        <v>5.6</v>
      </c>
      <c r="F14" s="20">
        <v>1.4</v>
      </c>
      <c r="G14" s="21" t="s">
        <v>18</v>
      </c>
      <c r="H14" s="15"/>
      <c r="I14" s="15"/>
      <c r="J14" s="26">
        <v>7</v>
      </c>
      <c r="K14" s="22">
        <f t="shared" si="0"/>
        <v>0</v>
      </c>
      <c r="L14" s="22">
        <f t="shared" si="1"/>
        <v>0.80999999999999983</v>
      </c>
      <c r="M14" s="22">
        <f t="shared" si="2"/>
        <v>0.80999999999999905</v>
      </c>
      <c r="N14" s="22">
        <f t="shared" si="3"/>
        <v>1.44</v>
      </c>
      <c r="O14" s="22"/>
      <c r="P14" s="27">
        <f t="shared" si="4"/>
        <v>3.0599999999999987</v>
      </c>
      <c r="Q14" s="15"/>
      <c r="R14" s="15"/>
      <c r="S14" s="26">
        <v>7</v>
      </c>
      <c r="T14" s="22">
        <f>COUNTIF($O$20:$O26,$T$7)</f>
        <v>1</v>
      </c>
      <c r="U14" s="22">
        <f>COUNTIF($O$20:$O26,$U$7)</f>
        <v>3</v>
      </c>
      <c r="V14" s="22">
        <f>COUNTIF($O$20:$O26,$V$7)</f>
        <v>3</v>
      </c>
      <c r="W14" s="22">
        <f t="shared" ref="W14:W16" si="7">MAX(T14:V14)</f>
        <v>3</v>
      </c>
      <c r="X14" s="27" t="str">
        <f t="shared" si="6"/>
        <v>versicolor</v>
      </c>
      <c r="Y14" s="19"/>
    </row>
    <row r="15" spans="2:25" ht="20.25" thickBot="1" x14ac:dyDescent="0.3">
      <c r="B15" s="3">
        <v>8</v>
      </c>
      <c r="C15" s="20">
        <v>6.1</v>
      </c>
      <c r="D15" s="20">
        <v>3</v>
      </c>
      <c r="E15" s="20">
        <v>4.9000000000000004</v>
      </c>
      <c r="F15" s="20">
        <v>1.8</v>
      </c>
      <c r="G15" s="21" t="s">
        <v>18</v>
      </c>
      <c r="H15" s="15"/>
      <c r="I15" s="15"/>
      <c r="J15" s="26">
        <v>8</v>
      </c>
      <c r="K15" s="22">
        <f t="shared" si="0"/>
        <v>0</v>
      </c>
      <c r="L15" s="22">
        <f t="shared" si="1"/>
        <v>0.25</v>
      </c>
      <c r="M15" s="22">
        <f t="shared" si="2"/>
        <v>4.000000000000007E-2</v>
      </c>
      <c r="N15" s="22">
        <f t="shared" si="3"/>
        <v>2.5600000000000005</v>
      </c>
      <c r="O15" s="22"/>
      <c r="P15" s="27">
        <f t="shared" si="4"/>
        <v>2.8500000000000005</v>
      </c>
      <c r="Q15" s="15"/>
      <c r="R15" s="15"/>
      <c r="S15" s="26">
        <v>8</v>
      </c>
      <c r="T15" s="22">
        <f>COUNTIF($O$20:$O27,$T$7)</f>
        <v>2</v>
      </c>
      <c r="U15" s="22">
        <f>COUNTIF($O$20:$O27,$U$7)</f>
        <v>3</v>
      </c>
      <c r="V15" s="22">
        <f>COUNTIF($O$20:$O27,$V$7)</f>
        <v>3</v>
      </c>
      <c r="W15" s="22">
        <f t="shared" si="7"/>
        <v>3</v>
      </c>
      <c r="X15" s="27" t="str">
        <f t="shared" si="6"/>
        <v>versicolor</v>
      </c>
      <c r="Y15" s="19"/>
    </row>
    <row r="16" spans="2:25" ht="20.25" thickBot="1" x14ac:dyDescent="0.3">
      <c r="B16" s="9">
        <v>9</v>
      </c>
      <c r="C16" s="28">
        <v>6.5</v>
      </c>
      <c r="D16" s="28">
        <v>3</v>
      </c>
      <c r="E16" s="28">
        <v>5.5</v>
      </c>
      <c r="F16" s="28">
        <v>1.8</v>
      </c>
      <c r="G16" s="29" t="s">
        <v>18</v>
      </c>
      <c r="H16" s="15"/>
      <c r="I16" s="15"/>
      <c r="J16" s="30">
        <v>9</v>
      </c>
      <c r="K16" s="31">
        <f t="shared" si="0"/>
        <v>0.16000000000000028</v>
      </c>
      <c r="L16" s="31">
        <f t="shared" si="1"/>
        <v>0.25</v>
      </c>
      <c r="M16" s="31">
        <f t="shared" si="2"/>
        <v>0.63999999999999968</v>
      </c>
      <c r="N16" s="31">
        <f t="shared" si="3"/>
        <v>2.5600000000000005</v>
      </c>
      <c r="O16" s="31"/>
      <c r="P16" s="32">
        <f t="shared" si="4"/>
        <v>3.6100000000000003</v>
      </c>
      <c r="Q16" s="15"/>
      <c r="R16" s="15"/>
      <c r="S16" s="30">
        <v>9</v>
      </c>
      <c r="T16" s="31">
        <f>COUNTIF($O$20:$O28,$T$7)</f>
        <v>3</v>
      </c>
      <c r="U16" s="31">
        <f>COUNTIF($O$20:$O28,$U$7)</f>
        <v>3</v>
      </c>
      <c r="V16" s="31">
        <f>COUNTIF($O$20:$O28,$V$7)</f>
        <v>3</v>
      </c>
      <c r="W16" s="31">
        <f t="shared" si="7"/>
        <v>3</v>
      </c>
      <c r="X16" s="32" t="str">
        <f t="shared" si="6"/>
        <v>setosa</v>
      </c>
      <c r="Y16" s="19"/>
    </row>
    <row r="17" spans="2:25" ht="13.5" thickBot="1" x14ac:dyDescent="0.25"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6"/>
    </row>
    <row r="18" spans="2:25" ht="28.5" thickBot="1" x14ac:dyDescent="0.55000000000000004">
      <c r="B18" s="74" t="s">
        <v>21</v>
      </c>
      <c r="C18" s="75"/>
      <c r="D18" s="75"/>
      <c r="E18" s="75"/>
      <c r="F18" s="75"/>
      <c r="G18" s="75"/>
      <c r="H18" s="1"/>
      <c r="I18" s="1"/>
      <c r="J18" s="71" t="s">
        <v>22</v>
      </c>
      <c r="K18" s="72"/>
      <c r="L18" s="72"/>
      <c r="M18" s="72"/>
      <c r="N18" s="72"/>
      <c r="O18" s="72"/>
      <c r="P18" s="73"/>
      <c r="Q18" s="1"/>
      <c r="R18" s="1"/>
      <c r="S18" s="80" t="s">
        <v>23</v>
      </c>
      <c r="T18" s="81"/>
      <c r="U18" s="81"/>
      <c r="V18" s="81"/>
      <c r="W18" s="81"/>
      <c r="X18" s="81"/>
      <c r="Y18" s="82"/>
    </row>
    <row r="19" spans="2:25" ht="20.25" thickBot="1" x14ac:dyDescent="0.3">
      <c r="B19" s="33" t="s">
        <v>13</v>
      </c>
      <c r="C19" s="34" t="s">
        <v>3</v>
      </c>
      <c r="D19" s="34" t="s">
        <v>4</v>
      </c>
      <c r="E19" s="34" t="s">
        <v>5</v>
      </c>
      <c r="F19" s="34" t="s">
        <v>6</v>
      </c>
      <c r="G19" s="35" t="s">
        <v>14</v>
      </c>
      <c r="H19" s="15"/>
      <c r="I19" s="15"/>
      <c r="J19" s="36" t="s">
        <v>13</v>
      </c>
      <c r="K19" s="13" t="s">
        <v>3</v>
      </c>
      <c r="L19" s="13" t="s">
        <v>4</v>
      </c>
      <c r="M19" s="13" t="s">
        <v>5</v>
      </c>
      <c r="N19" s="13" t="s">
        <v>6</v>
      </c>
      <c r="O19" s="13" t="s">
        <v>24</v>
      </c>
      <c r="P19" s="48" t="s">
        <v>25</v>
      </c>
      <c r="Q19" s="37" t="s">
        <v>26</v>
      </c>
      <c r="R19" s="15"/>
      <c r="S19" s="38" t="s">
        <v>2</v>
      </c>
      <c r="T19" s="39" t="s">
        <v>16</v>
      </c>
      <c r="U19" s="40" t="s">
        <v>17</v>
      </c>
      <c r="V19" s="40" t="s">
        <v>18</v>
      </c>
      <c r="W19" s="39" t="s">
        <v>19</v>
      </c>
      <c r="X19" s="40" t="s">
        <v>20</v>
      </c>
    </row>
    <row r="20" spans="2:25" ht="21" thickTop="1" thickBot="1" x14ac:dyDescent="0.3">
      <c r="B20" s="41">
        <v>1</v>
      </c>
      <c r="C20" s="20">
        <v>5.0999999999999996</v>
      </c>
      <c r="D20" s="20">
        <v>3.5</v>
      </c>
      <c r="E20" s="20">
        <v>1.4</v>
      </c>
      <c r="F20" s="20">
        <v>0.2</v>
      </c>
      <c r="G20" s="21" t="s">
        <v>16</v>
      </c>
      <c r="H20" s="15"/>
      <c r="I20" s="15"/>
      <c r="J20" s="26">
        <f t="shared" ref="J20:J28" si="8">INDEX(B$8:B$16,MATCH($P20,$P$8:$P$16,0))</f>
        <v>6</v>
      </c>
      <c r="K20" s="22">
        <f t="shared" ref="K20:K28" si="9">INDEX(C$8:C$16,MATCH($P20,$P$8:$P$16,0))</f>
        <v>6.1</v>
      </c>
      <c r="L20" s="22">
        <f t="shared" ref="L20:L28" si="10">INDEX(D$8:D$16,MATCH($P20,$P$8:$P$16,0))</f>
        <v>2.8</v>
      </c>
      <c r="M20" s="22">
        <f t="shared" ref="M20:M28" si="11">INDEX(E$8:E$16,MATCH($P20,$P$8:$P$16,0))</f>
        <v>4.7</v>
      </c>
      <c r="N20" s="22">
        <f t="shared" ref="N20:N28" si="12">INDEX(F$8:F$16,MATCH($P20,$P$8:$P$16,0))</f>
        <v>1.2</v>
      </c>
      <c r="O20" s="22" t="str">
        <f t="shared" ref="O20:O28" si="13">INDEX($G$8:$G$16,MATCH(P20,P$8:P$16,0))</f>
        <v>versicolor</v>
      </c>
      <c r="P20" s="27">
        <f t="shared" ref="P20:P28" si="14">SMALL(P$8:P$16,S8)</f>
        <v>1.4900000000000002</v>
      </c>
      <c r="Q20" s="43">
        <f t="shared" ref="Q20:Q28" si="15">1/P20</f>
        <v>0.67114093959731536</v>
      </c>
      <c r="R20" s="15"/>
      <c r="S20" s="26">
        <v>1</v>
      </c>
      <c r="T20" s="42">
        <f>SUMIF($O$20:$O20,T$19,$Q$20:$Q20)</f>
        <v>0</v>
      </c>
      <c r="U20" s="42">
        <f>SUMIF($O$20:$O20,U$19,$Q$20:$Q20)</f>
        <v>0.67114093959731536</v>
      </c>
      <c r="V20" s="42">
        <f>SUMIF($O$20:$O20,V$19,$Q$20:$Q20)</f>
        <v>0</v>
      </c>
      <c r="W20" s="42">
        <f>MAX(T20:V20)</f>
        <v>0.67114093959731536</v>
      </c>
      <c r="X20" s="27" t="str">
        <f>INDEX($T$19:$V$19,MATCH(W20,T20:V20,0))</f>
        <v>versicolor</v>
      </c>
    </row>
    <row r="21" spans="2:25" ht="20.25" thickBot="1" x14ac:dyDescent="0.3">
      <c r="B21" s="41">
        <v>2</v>
      </c>
      <c r="C21" s="20">
        <v>4.9000000000000004</v>
      </c>
      <c r="D21" s="20">
        <v>3</v>
      </c>
      <c r="E21" s="20">
        <v>1.4</v>
      </c>
      <c r="F21" s="20">
        <v>0.2</v>
      </c>
      <c r="G21" s="21" t="s">
        <v>16</v>
      </c>
      <c r="H21" s="15"/>
      <c r="I21" s="15"/>
      <c r="J21" s="26">
        <f t="shared" si="8"/>
        <v>5</v>
      </c>
      <c r="K21" s="22">
        <f t="shared" si="9"/>
        <v>6.1</v>
      </c>
      <c r="L21" s="22">
        <f t="shared" si="10"/>
        <v>3</v>
      </c>
      <c r="M21" s="22">
        <f t="shared" si="11"/>
        <v>4.5999999999999996</v>
      </c>
      <c r="N21" s="22">
        <f t="shared" si="12"/>
        <v>1.4</v>
      </c>
      <c r="O21" s="22" t="str">
        <f t="shared" si="13"/>
        <v>versicolor</v>
      </c>
      <c r="P21" s="27">
        <f t="shared" si="14"/>
        <v>1.7000000000000002</v>
      </c>
      <c r="Q21" s="43">
        <f t="shared" si="15"/>
        <v>0.58823529411764697</v>
      </c>
      <c r="R21" s="15"/>
      <c r="S21" s="26">
        <v>2</v>
      </c>
      <c r="T21" s="42">
        <f>SUMIF($O$20:$O21,T$19,$Q$20:$Q21)</f>
        <v>0</v>
      </c>
      <c r="U21" s="42">
        <f>SUMIF($O$20:$O21,U$19,$Q$20:$Q21)</f>
        <v>1.2593762337149623</v>
      </c>
      <c r="V21" s="42">
        <f>SUMIF($O$20:$O21,V$19,$Q$20:$Q21)</f>
        <v>0</v>
      </c>
      <c r="W21" s="42">
        <f t="shared" ref="W21:W25" si="16">MAX(T21:V21)</f>
        <v>1.2593762337149623</v>
      </c>
      <c r="X21" s="27" t="str">
        <f t="shared" ref="X21:X28" si="17">INDEX($T$19:$V$19,MATCH(W21,T21:V21,0))</f>
        <v>versicolor</v>
      </c>
    </row>
    <row r="22" spans="2:25" ht="20.25" thickBot="1" x14ac:dyDescent="0.3">
      <c r="B22" s="26">
        <v>3</v>
      </c>
      <c r="C22" s="20">
        <v>5.5</v>
      </c>
      <c r="D22" s="20">
        <v>3.5</v>
      </c>
      <c r="E22" s="20">
        <v>1.3</v>
      </c>
      <c r="F22" s="20">
        <v>0.2</v>
      </c>
      <c r="G22" s="21" t="s">
        <v>16</v>
      </c>
      <c r="H22" s="15"/>
      <c r="I22" s="15"/>
      <c r="J22" s="26">
        <f t="shared" si="8"/>
        <v>4</v>
      </c>
      <c r="K22" s="22">
        <f t="shared" si="9"/>
        <v>6.1</v>
      </c>
      <c r="L22" s="22">
        <f t="shared" si="10"/>
        <v>2.9</v>
      </c>
      <c r="M22" s="22">
        <f t="shared" si="11"/>
        <v>4.7</v>
      </c>
      <c r="N22" s="22">
        <f t="shared" si="12"/>
        <v>1.4</v>
      </c>
      <c r="O22" s="22" t="str">
        <f t="shared" si="13"/>
        <v>versicolor</v>
      </c>
      <c r="P22" s="27">
        <f t="shared" si="14"/>
        <v>1.8</v>
      </c>
      <c r="Q22" s="43">
        <f t="shared" si="15"/>
        <v>0.55555555555555558</v>
      </c>
      <c r="R22" s="15"/>
      <c r="S22" s="26">
        <v>3</v>
      </c>
      <c r="T22" s="42">
        <f>SUMIF($O$20:$O22,T$19,$Q$20:$Q22)</f>
        <v>0</v>
      </c>
      <c r="U22" s="42">
        <f>SUMIF($O$20:$O22,U$19,$Q$20:$Q22)</f>
        <v>1.8149317892705179</v>
      </c>
      <c r="V22" s="42">
        <f>SUMIF($O$20:$O22,V$19,$Q$20:$Q22)</f>
        <v>0</v>
      </c>
      <c r="W22" s="42">
        <f t="shared" si="16"/>
        <v>1.8149317892705179</v>
      </c>
      <c r="X22" s="27" t="str">
        <f t="shared" si="17"/>
        <v>versicolor</v>
      </c>
    </row>
    <row r="23" spans="2:25" ht="20.25" thickBot="1" x14ac:dyDescent="0.3">
      <c r="B23" s="26">
        <v>4</v>
      </c>
      <c r="C23" s="20">
        <v>6.1</v>
      </c>
      <c r="D23" s="20">
        <v>2.9</v>
      </c>
      <c r="E23" s="20">
        <v>4.7</v>
      </c>
      <c r="F23" s="20">
        <v>1.4</v>
      </c>
      <c r="G23" s="21" t="s">
        <v>17</v>
      </c>
      <c r="H23" s="15"/>
      <c r="I23" s="15"/>
      <c r="J23" s="26">
        <f t="shared" si="8"/>
        <v>8</v>
      </c>
      <c r="K23" s="22">
        <f t="shared" si="9"/>
        <v>6.1</v>
      </c>
      <c r="L23" s="22">
        <f t="shared" si="10"/>
        <v>3</v>
      </c>
      <c r="M23" s="22">
        <f t="shared" si="11"/>
        <v>4.9000000000000004</v>
      </c>
      <c r="N23" s="22">
        <f t="shared" si="12"/>
        <v>1.8</v>
      </c>
      <c r="O23" s="22" t="str">
        <f t="shared" si="13"/>
        <v>virginica</v>
      </c>
      <c r="P23" s="27">
        <f t="shared" si="14"/>
        <v>2.8500000000000005</v>
      </c>
      <c r="Q23" s="43">
        <f t="shared" si="15"/>
        <v>0.35087719298245607</v>
      </c>
      <c r="R23" s="15"/>
      <c r="S23" s="26">
        <v>4</v>
      </c>
      <c r="T23" s="42">
        <f>SUMIF($O$20:$O23,T$19,$Q$20:$Q23)</f>
        <v>0</v>
      </c>
      <c r="U23" s="42">
        <f>SUMIF($O$20:$O23,U$19,$Q$20:$Q23)</f>
        <v>1.8149317892705179</v>
      </c>
      <c r="V23" s="42">
        <f>SUMIF($O$20:$O23,V$19,$Q$20:$Q23)</f>
        <v>0.35087719298245607</v>
      </c>
      <c r="W23" s="42">
        <f t="shared" si="16"/>
        <v>1.8149317892705179</v>
      </c>
      <c r="X23" s="27" t="str">
        <f t="shared" si="17"/>
        <v>versicolor</v>
      </c>
    </row>
    <row r="24" spans="2:25" ht="20.25" thickBot="1" x14ac:dyDescent="0.3">
      <c r="B24" s="26">
        <v>5</v>
      </c>
      <c r="C24" s="20">
        <v>6.1</v>
      </c>
      <c r="D24" s="20">
        <v>3</v>
      </c>
      <c r="E24" s="20">
        <v>4.5999999999999996</v>
      </c>
      <c r="F24" s="20">
        <v>1.4</v>
      </c>
      <c r="G24" s="21" t="s">
        <v>17</v>
      </c>
      <c r="H24" s="15"/>
      <c r="I24" s="15"/>
      <c r="J24" s="26">
        <f t="shared" si="8"/>
        <v>7</v>
      </c>
      <c r="K24" s="22">
        <f t="shared" si="9"/>
        <v>6.1</v>
      </c>
      <c r="L24" s="22">
        <f t="shared" si="10"/>
        <v>2.6</v>
      </c>
      <c r="M24" s="22">
        <f t="shared" si="11"/>
        <v>5.6</v>
      </c>
      <c r="N24" s="22">
        <f t="shared" si="12"/>
        <v>1.4</v>
      </c>
      <c r="O24" s="22" t="str">
        <f t="shared" si="13"/>
        <v>virginica</v>
      </c>
      <c r="P24" s="27">
        <f t="shared" si="14"/>
        <v>3.0599999999999987</v>
      </c>
      <c r="Q24" s="43">
        <f t="shared" si="15"/>
        <v>0.32679738562091515</v>
      </c>
      <c r="R24" s="15"/>
      <c r="S24" s="26">
        <v>5</v>
      </c>
      <c r="T24" s="42">
        <f>SUMIF($O$20:$O24,T$19,$Q$20:$Q24)</f>
        <v>0</v>
      </c>
      <c r="U24" s="42">
        <f>SUMIF($O$20:$O24,U$19,$Q$20:$Q24)</f>
        <v>1.8149317892705179</v>
      </c>
      <c r="V24" s="42">
        <f>SUMIF($O$20:$O24,V$19,$Q$20:$Q24)</f>
        <v>0.67767457860337121</v>
      </c>
      <c r="W24" s="42">
        <f t="shared" si="16"/>
        <v>1.8149317892705179</v>
      </c>
      <c r="X24" s="27" t="str">
        <f t="shared" si="17"/>
        <v>versicolor</v>
      </c>
    </row>
    <row r="25" spans="2:25" ht="20.25" thickBot="1" x14ac:dyDescent="0.3">
      <c r="B25" s="26">
        <v>6</v>
      </c>
      <c r="C25" s="20">
        <v>6.1</v>
      </c>
      <c r="D25" s="20">
        <v>2.8</v>
      </c>
      <c r="E25" s="20">
        <v>4.7</v>
      </c>
      <c r="F25" s="20">
        <v>1.2</v>
      </c>
      <c r="G25" s="21" t="s">
        <v>17</v>
      </c>
      <c r="H25" s="15"/>
      <c r="I25" s="15"/>
      <c r="J25" s="26">
        <f t="shared" si="8"/>
        <v>9</v>
      </c>
      <c r="K25" s="22">
        <f t="shared" si="9"/>
        <v>6.5</v>
      </c>
      <c r="L25" s="22">
        <f t="shared" si="10"/>
        <v>3</v>
      </c>
      <c r="M25" s="22">
        <f t="shared" si="11"/>
        <v>5.5</v>
      </c>
      <c r="N25" s="22">
        <f t="shared" si="12"/>
        <v>1.8</v>
      </c>
      <c r="O25" s="22" t="str">
        <f t="shared" si="13"/>
        <v>virginica</v>
      </c>
      <c r="P25" s="27">
        <f t="shared" si="14"/>
        <v>3.6100000000000003</v>
      </c>
      <c r="Q25" s="43">
        <f t="shared" si="15"/>
        <v>0.27700831024930744</v>
      </c>
      <c r="R25" s="15"/>
      <c r="S25" s="26">
        <v>6</v>
      </c>
      <c r="T25" s="42">
        <f>SUMIF($O$20:$O25,T$19,$Q$20:$Q25)</f>
        <v>0</v>
      </c>
      <c r="U25" s="42">
        <f>SUMIF($O$20:$O25,U$19,$Q$20:$Q25)</f>
        <v>1.8149317892705179</v>
      </c>
      <c r="V25" s="42">
        <f>SUMIF($O$20:$O25,V$19,$Q$20:$Q25)</f>
        <v>0.9546828888526786</v>
      </c>
      <c r="W25" s="42">
        <f t="shared" si="16"/>
        <v>1.8149317892705179</v>
      </c>
      <c r="X25" s="27" t="str">
        <f t="shared" si="17"/>
        <v>versicolor</v>
      </c>
    </row>
    <row r="26" spans="2:25" ht="20.25" thickBot="1" x14ac:dyDescent="0.3">
      <c r="B26" s="26">
        <v>7</v>
      </c>
      <c r="C26" s="20">
        <v>6.1</v>
      </c>
      <c r="D26" s="20">
        <v>2.6</v>
      </c>
      <c r="E26" s="20">
        <v>5.6</v>
      </c>
      <c r="F26" s="20">
        <v>1.4</v>
      </c>
      <c r="G26" s="21" t="s">
        <v>18</v>
      </c>
      <c r="H26" s="15"/>
      <c r="I26" s="15"/>
      <c r="J26" s="26">
        <f t="shared" si="8"/>
        <v>1</v>
      </c>
      <c r="K26" s="22">
        <f t="shared" si="9"/>
        <v>5.0999999999999996</v>
      </c>
      <c r="L26" s="22">
        <f t="shared" si="10"/>
        <v>3.5</v>
      </c>
      <c r="M26" s="22">
        <f t="shared" si="11"/>
        <v>1.4</v>
      </c>
      <c r="N26" s="22">
        <f t="shared" si="12"/>
        <v>0.2</v>
      </c>
      <c r="O26" s="22" t="str">
        <f t="shared" si="13"/>
        <v>setosa</v>
      </c>
      <c r="P26" s="27">
        <f t="shared" si="14"/>
        <v>11.890000000000002</v>
      </c>
      <c r="Q26" s="43">
        <f t="shared" si="15"/>
        <v>8.4104289318755243E-2</v>
      </c>
      <c r="R26" s="15"/>
      <c r="S26" s="26">
        <v>7</v>
      </c>
      <c r="T26" s="42">
        <f>SUMIF($O$20:$O26,T$19,$Q$20:$Q26)</f>
        <v>8.4104289318755243E-2</v>
      </c>
      <c r="U26" s="42">
        <f>SUMIF($O$20:$O26,U$19,$Q$20:$Q26)</f>
        <v>1.8149317892705179</v>
      </c>
      <c r="V26" s="42">
        <f>SUMIF($O$20:$O26,V$19,$Q$20:$Q26)</f>
        <v>0.9546828888526786</v>
      </c>
      <c r="W26" s="42">
        <f>MAX(T26:V26)</f>
        <v>1.8149317892705179</v>
      </c>
      <c r="X26" s="27" t="str">
        <f t="shared" si="17"/>
        <v>versicolor</v>
      </c>
    </row>
    <row r="27" spans="2:25" ht="20.25" thickBot="1" x14ac:dyDescent="0.3">
      <c r="B27" s="41">
        <v>8</v>
      </c>
      <c r="C27" s="20">
        <v>6.1</v>
      </c>
      <c r="D27" s="20">
        <v>3</v>
      </c>
      <c r="E27" s="20">
        <v>4.9000000000000004</v>
      </c>
      <c r="F27" s="20">
        <v>1.8</v>
      </c>
      <c r="G27" s="21" t="s">
        <v>18</v>
      </c>
      <c r="H27" s="15"/>
      <c r="I27" s="15"/>
      <c r="J27" s="26">
        <f t="shared" si="8"/>
        <v>3</v>
      </c>
      <c r="K27" s="22">
        <f t="shared" si="9"/>
        <v>5.5</v>
      </c>
      <c r="L27" s="22">
        <f t="shared" si="10"/>
        <v>3.5</v>
      </c>
      <c r="M27" s="22">
        <f t="shared" si="11"/>
        <v>1.3</v>
      </c>
      <c r="N27" s="22">
        <f t="shared" si="12"/>
        <v>0.2</v>
      </c>
      <c r="O27" s="22" t="str">
        <f t="shared" si="13"/>
        <v>setosa</v>
      </c>
      <c r="P27" s="27">
        <f t="shared" si="14"/>
        <v>11.920000000000002</v>
      </c>
      <c r="Q27" s="43">
        <f t="shared" si="15"/>
        <v>8.3892617449664419E-2</v>
      </c>
      <c r="R27" s="15"/>
      <c r="S27" s="26">
        <v>8</v>
      </c>
      <c r="T27" s="42">
        <f>SUMIF($O$20:$O27,T$19,$Q$20:$Q27)</f>
        <v>0.16799690676841966</v>
      </c>
      <c r="U27" s="42">
        <f>SUMIF($O$20:$O27,U$19,$Q$20:$Q27)</f>
        <v>1.8149317892705179</v>
      </c>
      <c r="V27" s="42">
        <f>SUMIF($O$20:$O27,V$19,$Q$20:$Q27)</f>
        <v>0.9546828888526786</v>
      </c>
      <c r="W27" s="42">
        <f t="shared" ref="W27:W28" si="18">MAX(T27:V27)</f>
        <v>1.8149317892705179</v>
      </c>
      <c r="X27" s="27" t="str">
        <f t="shared" si="17"/>
        <v>versicolor</v>
      </c>
    </row>
    <row r="28" spans="2:25" ht="20.25" thickBot="1" x14ac:dyDescent="0.3">
      <c r="B28" s="44">
        <v>9</v>
      </c>
      <c r="C28" s="28">
        <v>6.5</v>
      </c>
      <c r="D28" s="28">
        <v>3</v>
      </c>
      <c r="E28" s="28">
        <v>5.5</v>
      </c>
      <c r="F28" s="28">
        <v>1.8</v>
      </c>
      <c r="G28" s="29" t="s">
        <v>18</v>
      </c>
      <c r="H28" s="15"/>
      <c r="I28" s="15"/>
      <c r="J28" s="30">
        <f t="shared" si="8"/>
        <v>2</v>
      </c>
      <c r="K28" s="31">
        <f t="shared" si="9"/>
        <v>4.9000000000000004</v>
      </c>
      <c r="L28" s="31">
        <f t="shared" si="10"/>
        <v>3</v>
      </c>
      <c r="M28" s="31">
        <f t="shared" si="11"/>
        <v>1.4</v>
      </c>
      <c r="N28" s="31">
        <f t="shared" si="12"/>
        <v>0.2</v>
      </c>
      <c r="O28" s="31" t="str">
        <f t="shared" si="13"/>
        <v>setosa</v>
      </c>
      <c r="P28" s="32">
        <f t="shared" si="14"/>
        <v>12.58</v>
      </c>
      <c r="Q28" s="46">
        <f t="shared" si="15"/>
        <v>7.9491255961844198E-2</v>
      </c>
      <c r="R28" s="15"/>
      <c r="S28" s="30">
        <v>9</v>
      </c>
      <c r="T28" s="45">
        <f>SUMIF($O$20:$O28,T$19,$Q$20:$Q28)</f>
        <v>0.24748816273026386</v>
      </c>
      <c r="U28" s="45">
        <f>SUMIF($O$20:$O28,U$19,$Q$20:$Q28)</f>
        <v>1.8149317892705179</v>
      </c>
      <c r="V28" s="45">
        <f>SUMIF($O$20:$O28,V$19,$Q$20:$Q28)</f>
        <v>0.9546828888526786</v>
      </c>
      <c r="W28" s="45">
        <f t="shared" si="18"/>
        <v>1.8149317892705179</v>
      </c>
      <c r="X28" s="32" t="str">
        <f t="shared" si="17"/>
        <v>versicolor</v>
      </c>
    </row>
    <row r="29" spans="2:25" ht="6.75" customHeight="1" thickBot="1" x14ac:dyDescent="0.25">
      <c r="B29" s="10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1"/>
    </row>
  </sheetData>
  <mergeCells count="8">
    <mergeCell ref="J18:P18"/>
    <mergeCell ref="J6:P6"/>
    <mergeCell ref="B18:G18"/>
    <mergeCell ref="J2:P2"/>
    <mergeCell ref="S6:X6"/>
    <mergeCell ref="S18:Y18"/>
    <mergeCell ref="F4:I4"/>
    <mergeCell ref="B6:G6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7"/>
  <sheetViews>
    <sheetView tabSelected="1" zoomScale="70" zoomScaleNormal="70" workbookViewId="0">
      <selection activeCell="X21" sqref="X21"/>
    </sheetView>
  </sheetViews>
  <sheetFormatPr defaultRowHeight="12.75" x14ac:dyDescent="0.2"/>
  <cols>
    <col min="8" max="8" width="11.7109375" customWidth="1"/>
    <col min="9" max="21" width="12.7109375" customWidth="1"/>
    <col min="22" max="22" width="14.7109375" customWidth="1"/>
    <col min="23" max="23" width="15.28515625" customWidth="1"/>
    <col min="24" max="24" width="16.5703125" customWidth="1"/>
    <col min="25" max="32" width="12.7109375" customWidth="1"/>
  </cols>
  <sheetData>
    <row r="1" spans="2:32" ht="13.5" thickBot="1" x14ac:dyDescent="0.25"/>
    <row r="2" spans="2:32" ht="24.95" customHeight="1" thickBot="1" x14ac:dyDescent="0.55000000000000004">
      <c r="J2" s="58" t="s">
        <v>0</v>
      </c>
      <c r="N2" s="56"/>
      <c r="O2" s="56"/>
      <c r="P2" s="57"/>
      <c r="Q2" s="74" t="s">
        <v>1</v>
      </c>
      <c r="R2" s="75"/>
      <c r="S2" s="75"/>
      <c r="T2" s="75"/>
      <c r="U2" s="75"/>
      <c r="V2" s="75"/>
      <c r="W2" s="76"/>
    </row>
    <row r="3" spans="2:32" ht="24.95" customHeight="1" x14ac:dyDescent="0.3">
      <c r="B3" s="85" t="s">
        <v>27</v>
      </c>
      <c r="C3" s="85"/>
      <c r="D3" s="85"/>
      <c r="E3" s="85"/>
      <c r="F3" s="85"/>
      <c r="G3" s="85"/>
      <c r="M3" s="56"/>
      <c r="N3" s="56"/>
      <c r="O3" s="56"/>
      <c r="P3" s="64"/>
      <c r="Q3" s="49" t="s">
        <v>2</v>
      </c>
      <c r="R3" s="50" t="s">
        <v>3</v>
      </c>
      <c r="S3" s="50" t="s">
        <v>4</v>
      </c>
      <c r="T3" s="50" t="s">
        <v>5</v>
      </c>
      <c r="U3" s="50" t="s">
        <v>6</v>
      </c>
      <c r="V3" s="52" t="s">
        <v>7</v>
      </c>
      <c r="W3" s="53" t="s">
        <v>8</v>
      </c>
    </row>
    <row r="4" spans="2:32" ht="24.95" customHeight="1" thickBot="1" x14ac:dyDescent="0.4">
      <c r="B4" s="85"/>
      <c r="C4" s="85"/>
      <c r="D4" s="85"/>
      <c r="E4" s="85"/>
      <c r="F4" s="85"/>
      <c r="G4" s="85"/>
      <c r="K4" s="87" t="s">
        <v>9</v>
      </c>
      <c r="L4" s="87"/>
      <c r="M4" s="87"/>
      <c r="N4" s="87"/>
      <c r="O4" s="87"/>
      <c r="P4" s="88"/>
      <c r="Q4" s="54"/>
      <c r="R4" s="55">
        <v>6.1</v>
      </c>
      <c r="S4" s="55">
        <v>3.5</v>
      </c>
      <c r="T4" s="55">
        <v>4.7</v>
      </c>
      <c r="U4" s="55">
        <v>0.2</v>
      </c>
      <c r="V4" s="65"/>
      <c r="W4" s="65"/>
    </row>
    <row r="5" spans="2:32" ht="48" customHeight="1" thickBot="1" x14ac:dyDescent="0.4">
      <c r="B5" s="85"/>
      <c r="C5" s="85"/>
      <c r="D5" s="85"/>
      <c r="E5" s="85"/>
      <c r="F5" s="85"/>
      <c r="G5" s="85"/>
      <c r="I5" s="86" t="s">
        <v>28</v>
      </c>
      <c r="J5" s="86"/>
      <c r="K5" s="86"/>
      <c r="L5" s="86"/>
      <c r="M5" s="86"/>
      <c r="N5" s="86"/>
      <c r="Q5" s="70">
        <v>2</v>
      </c>
      <c r="R5" s="66">
        <f>R4/C17</f>
        <v>0.93846153846153846</v>
      </c>
      <c r="S5" s="66">
        <f t="shared" ref="S5:U5" si="0">S4/D17</f>
        <v>1</v>
      </c>
      <c r="T5" s="66">
        <f t="shared" si="0"/>
        <v>0.83928571428571441</v>
      </c>
      <c r="U5" s="66">
        <f t="shared" si="0"/>
        <v>0.11111111111111112</v>
      </c>
      <c r="V5" s="65" t="str">
        <f>INDEX(AE8:AE16,MATCH(Q5,Z8:Z16))</f>
        <v>setosa</v>
      </c>
      <c r="W5" s="65" t="str">
        <f>INDEX(AE21:AE29,MATCH(Q5,Z21:Z29))</f>
        <v>versicolor</v>
      </c>
    </row>
    <row r="6" spans="2:32" ht="35.25" customHeight="1" thickBot="1" x14ac:dyDescent="0.55000000000000004">
      <c r="B6" s="89" t="s">
        <v>10</v>
      </c>
      <c r="C6" s="90"/>
      <c r="D6" s="90"/>
      <c r="E6" s="90"/>
      <c r="F6" s="90"/>
      <c r="G6" s="91"/>
      <c r="H6" s="1"/>
      <c r="I6" s="74" t="s">
        <v>29</v>
      </c>
      <c r="J6" s="75"/>
      <c r="K6" s="75"/>
      <c r="L6" s="75"/>
      <c r="M6" s="75"/>
      <c r="N6" s="75"/>
      <c r="O6" s="12"/>
      <c r="P6" s="12"/>
      <c r="Q6" s="71" t="s">
        <v>11</v>
      </c>
      <c r="R6" s="72"/>
      <c r="S6" s="72"/>
      <c r="T6" s="72"/>
      <c r="U6" s="72"/>
      <c r="V6" s="72"/>
      <c r="W6" s="73"/>
      <c r="X6" s="12"/>
      <c r="Y6" s="12"/>
      <c r="Z6" s="77" t="s">
        <v>12</v>
      </c>
      <c r="AA6" s="78"/>
      <c r="AB6" s="78"/>
      <c r="AC6" s="78"/>
      <c r="AD6" s="78"/>
      <c r="AE6" s="79"/>
      <c r="AF6" s="7"/>
    </row>
    <row r="7" spans="2:32" ht="20.25" thickBot="1" x14ac:dyDescent="0.3">
      <c r="B7" s="2" t="s">
        <v>13</v>
      </c>
      <c r="C7" s="13" t="s">
        <v>3</v>
      </c>
      <c r="D7" s="13" t="s">
        <v>4</v>
      </c>
      <c r="E7" s="13" t="s">
        <v>5</v>
      </c>
      <c r="F7" s="13" t="s">
        <v>6</v>
      </c>
      <c r="G7" s="14" t="s">
        <v>14</v>
      </c>
      <c r="H7" s="1"/>
      <c r="I7" s="2" t="s">
        <v>13</v>
      </c>
      <c r="J7" s="13" t="s">
        <v>3</v>
      </c>
      <c r="K7" s="13" t="s">
        <v>4</v>
      </c>
      <c r="L7" s="13" t="s">
        <v>5</v>
      </c>
      <c r="M7" s="13" t="s">
        <v>6</v>
      </c>
      <c r="N7" s="14" t="s">
        <v>14</v>
      </c>
      <c r="O7" s="15"/>
      <c r="P7" s="15"/>
      <c r="Q7" s="47" t="s">
        <v>13</v>
      </c>
      <c r="R7" s="13" t="s">
        <v>3</v>
      </c>
      <c r="S7" s="13" t="s">
        <v>4</v>
      </c>
      <c r="T7" s="13" t="s">
        <v>5</v>
      </c>
      <c r="U7" s="13" t="s">
        <v>6</v>
      </c>
      <c r="V7" s="13"/>
      <c r="W7" s="48" t="s">
        <v>15</v>
      </c>
      <c r="X7" s="15"/>
      <c r="Y7" s="15"/>
      <c r="Z7" s="16" t="s">
        <v>2</v>
      </c>
      <c r="AA7" s="17" t="s">
        <v>16</v>
      </c>
      <c r="AB7" s="18" t="s">
        <v>17</v>
      </c>
      <c r="AC7" s="18" t="s">
        <v>18</v>
      </c>
      <c r="AD7" s="17" t="s">
        <v>19</v>
      </c>
      <c r="AE7" s="18" t="s">
        <v>20</v>
      </c>
      <c r="AF7" s="19"/>
    </row>
    <row r="8" spans="2:32" ht="21" thickTop="1" thickBot="1" x14ac:dyDescent="0.3">
      <c r="B8" s="3">
        <v>1</v>
      </c>
      <c r="C8" s="20">
        <v>5.0999999999999996</v>
      </c>
      <c r="D8" s="20">
        <v>3.5</v>
      </c>
      <c r="E8" s="20">
        <v>1.4</v>
      </c>
      <c r="F8" s="20">
        <v>0.2</v>
      </c>
      <c r="G8" s="21" t="s">
        <v>16</v>
      </c>
      <c r="H8" s="1"/>
      <c r="I8" s="3">
        <v>1</v>
      </c>
      <c r="J8" s="62">
        <f>(C8-C$18)/(C$17-C$18)</f>
        <v>0.12499999999999958</v>
      </c>
      <c r="K8" s="62">
        <f t="shared" ref="K8:M8" si="1">D8/D$17</f>
        <v>1</v>
      </c>
      <c r="L8" s="62">
        <f t="shared" si="1"/>
        <v>0.25</v>
      </c>
      <c r="M8" s="62">
        <f t="shared" si="1"/>
        <v>0.11111111111111112</v>
      </c>
      <c r="N8" s="21" t="s">
        <v>16</v>
      </c>
      <c r="O8" s="15"/>
      <c r="P8" s="15"/>
      <c r="Q8" s="26">
        <v>1</v>
      </c>
      <c r="R8" s="42">
        <f>(R$5-$J8)^2</f>
        <v>0.66171967455621372</v>
      </c>
      <c r="S8" s="42">
        <f>(S$5-$K8)^2</f>
        <v>0</v>
      </c>
      <c r="T8" s="42">
        <f>(T$5-$L8)^2</f>
        <v>0.34725765306122464</v>
      </c>
      <c r="U8" s="42">
        <f>(U$5-$M8)^2</f>
        <v>0</v>
      </c>
      <c r="V8" s="42"/>
      <c r="W8" s="67">
        <f t="shared" ref="W8:W16" si="2">SUM(R8:U8)</f>
        <v>1.0089773276174383</v>
      </c>
      <c r="X8" s="15"/>
      <c r="Y8" s="15"/>
      <c r="Z8" s="23">
        <v>1</v>
      </c>
      <c r="AA8" s="24">
        <f>COUNTIF($V$21:$V21,$AA$7)</f>
        <v>0</v>
      </c>
      <c r="AB8" s="24">
        <f>COUNTIF($V$21:$V21,$AB$7)</f>
        <v>1</v>
      </c>
      <c r="AC8" s="24">
        <f>COUNTIF($V$21:$V21,$AC$7)</f>
        <v>0</v>
      </c>
      <c r="AD8" s="24">
        <f t="shared" ref="AD8:AD13" si="3">MAX(AA8:AC8)</f>
        <v>1</v>
      </c>
      <c r="AE8" s="25" t="str">
        <f>INDEX($AA$7:$AC$7,MATCH(AD8,AA8:AC8,0))</f>
        <v>versicolor</v>
      </c>
      <c r="AF8" s="19"/>
    </row>
    <row r="9" spans="2:32" ht="20.25" thickBot="1" x14ac:dyDescent="0.3">
      <c r="B9" s="8">
        <v>2</v>
      </c>
      <c r="C9" s="20">
        <v>4.9000000000000004</v>
      </c>
      <c r="D9" s="20">
        <v>3</v>
      </c>
      <c r="E9" s="20">
        <v>1.4</v>
      </c>
      <c r="F9" s="20">
        <v>0.2</v>
      </c>
      <c r="G9" s="21" t="s">
        <v>16</v>
      </c>
      <c r="H9" s="1"/>
      <c r="I9" s="8">
        <v>2</v>
      </c>
      <c r="J9" s="62">
        <f t="shared" ref="J9:J16" si="4">C9/C$17</f>
        <v>0.75384615384615394</v>
      </c>
      <c r="K9" s="62">
        <f t="shared" ref="K9:K16" si="5">D9/D$17</f>
        <v>0.8571428571428571</v>
      </c>
      <c r="L9" s="62">
        <f t="shared" ref="L9:L16" si="6">E9/E$17</f>
        <v>0.25</v>
      </c>
      <c r="M9" s="62">
        <f t="shared" ref="M9:M16" si="7">F9/F$17</f>
        <v>0.11111111111111112</v>
      </c>
      <c r="N9" s="21" t="s">
        <v>16</v>
      </c>
      <c r="O9" s="15"/>
      <c r="P9" s="15"/>
      <c r="Q9" s="26">
        <v>2</v>
      </c>
      <c r="R9" s="42">
        <f t="shared" ref="R9:R16" si="8">(R$5-$J9)^2</f>
        <v>3.4082840236686354E-2</v>
      </c>
      <c r="S9" s="42">
        <f t="shared" ref="S9:S16" si="9">(S$5-$K9)^2</f>
        <v>2.0408163265306135E-2</v>
      </c>
      <c r="T9" s="42">
        <f t="shared" ref="T9:T16" si="10">(T$5-$L9)^2</f>
        <v>0.34725765306122464</v>
      </c>
      <c r="U9" s="42">
        <f t="shared" ref="U9:U16" si="11">(U$5-$M9)^2</f>
        <v>0</v>
      </c>
      <c r="V9" s="42"/>
      <c r="W9" s="67">
        <f t="shared" si="2"/>
        <v>0.40174865656321712</v>
      </c>
      <c r="X9" s="15"/>
      <c r="Y9" s="15"/>
      <c r="Z9" s="26">
        <v>2</v>
      </c>
      <c r="AA9" s="22">
        <f>COUNTIF($V$21:$V22,$AA$7)</f>
        <v>1</v>
      </c>
      <c r="AB9" s="22">
        <f>COUNTIF($V$21:$V22,$AB$7)</f>
        <v>1</v>
      </c>
      <c r="AC9" s="22">
        <f>COUNTIF($V$21:$V22,$AC$7)</f>
        <v>0</v>
      </c>
      <c r="AD9" s="22">
        <f t="shared" si="3"/>
        <v>1</v>
      </c>
      <c r="AE9" s="27" t="str">
        <f t="shared" ref="AE9:AE16" si="12">INDEX($AA$7:$AC$7,MATCH(AD9,AA9:AC9,0))</f>
        <v>setosa</v>
      </c>
      <c r="AF9" s="19"/>
    </row>
    <row r="10" spans="2:32" ht="20.25" thickBot="1" x14ac:dyDescent="0.3">
      <c r="B10" s="8">
        <v>3</v>
      </c>
      <c r="C10" s="20">
        <v>5.5</v>
      </c>
      <c r="D10" s="20">
        <v>3.5</v>
      </c>
      <c r="E10" s="20">
        <v>1.3</v>
      </c>
      <c r="F10" s="20">
        <v>0.2</v>
      </c>
      <c r="G10" s="21" t="s">
        <v>16</v>
      </c>
      <c r="H10" s="1"/>
      <c r="I10" s="8">
        <v>3</v>
      </c>
      <c r="J10" s="62">
        <f t="shared" si="4"/>
        <v>0.84615384615384615</v>
      </c>
      <c r="K10" s="62">
        <f t="shared" si="5"/>
        <v>1</v>
      </c>
      <c r="L10" s="62">
        <f t="shared" si="6"/>
        <v>0.23214285714285718</v>
      </c>
      <c r="M10" s="62">
        <f t="shared" si="7"/>
        <v>0.11111111111111112</v>
      </c>
      <c r="N10" s="21" t="s">
        <v>16</v>
      </c>
      <c r="O10" s="15"/>
      <c r="P10" s="15"/>
      <c r="Q10" s="26">
        <v>3</v>
      </c>
      <c r="R10" s="42">
        <f t="shared" si="8"/>
        <v>8.520710059171599E-3</v>
      </c>
      <c r="S10" s="42">
        <f t="shared" si="9"/>
        <v>0</v>
      </c>
      <c r="T10" s="42">
        <f t="shared" si="10"/>
        <v>0.3686224489795919</v>
      </c>
      <c r="U10" s="42">
        <f t="shared" si="11"/>
        <v>0</v>
      </c>
      <c r="V10" s="42"/>
      <c r="W10" s="67">
        <f t="shared" si="2"/>
        <v>0.3771431590387635</v>
      </c>
      <c r="X10" s="15"/>
      <c r="Y10" s="15"/>
      <c r="Z10" s="26">
        <v>3</v>
      </c>
      <c r="AA10" s="22">
        <f>COUNTIF($V$21:$V23,$AA$7)</f>
        <v>2</v>
      </c>
      <c r="AB10" s="22">
        <f>COUNTIF($V$21:$V23,$AB$7)</f>
        <v>1</v>
      </c>
      <c r="AC10" s="22">
        <f>COUNTIF($V$21:$V23,$AC$7)</f>
        <v>0</v>
      </c>
      <c r="AD10" s="22">
        <f t="shared" si="3"/>
        <v>2</v>
      </c>
      <c r="AE10" s="27" t="str">
        <f t="shared" si="12"/>
        <v>setosa</v>
      </c>
      <c r="AF10" s="19"/>
    </row>
    <row r="11" spans="2:32" ht="20.25" thickBot="1" x14ac:dyDescent="0.3">
      <c r="B11" s="8">
        <v>4</v>
      </c>
      <c r="C11" s="20">
        <v>6.1</v>
      </c>
      <c r="D11" s="20">
        <v>2.9</v>
      </c>
      <c r="E11" s="20">
        <v>4.7</v>
      </c>
      <c r="F11" s="20">
        <v>1.4</v>
      </c>
      <c r="G11" s="21" t="s">
        <v>17</v>
      </c>
      <c r="H11" s="1"/>
      <c r="I11" s="8">
        <v>4</v>
      </c>
      <c r="J11" s="62">
        <f t="shared" si="4"/>
        <v>0.93846153846153846</v>
      </c>
      <c r="K11" s="62">
        <f t="shared" si="5"/>
        <v>0.82857142857142851</v>
      </c>
      <c r="L11" s="62">
        <f t="shared" si="6"/>
        <v>0.83928571428571441</v>
      </c>
      <c r="M11" s="62">
        <f t="shared" si="7"/>
        <v>0.77777777777777768</v>
      </c>
      <c r="N11" s="21" t="s">
        <v>17</v>
      </c>
      <c r="O11" s="15"/>
      <c r="P11" s="15"/>
      <c r="Q11" s="26">
        <v>4</v>
      </c>
      <c r="R11" s="42">
        <f t="shared" si="8"/>
        <v>0</v>
      </c>
      <c r="S11" s="42">
        <f t="shared" si="9"/>
        <v>2.9387755102040836E-2</v>
      </c>
      <c r="T11" s="42">
        <f t="shared" si="10"/>
        <v>0</v>
      </c>
      <c r="U11" s="42">
        <f t="shared" si="11"/>
        <v>0.44444444444444425</v>
      </c>
      <c r="V11" s="42"/>
      <c r="W11" s="67">
        <f t="shared" si="2"/>
        <v>0.47383219954648509</v>
      </c>
      <c r="X11" s="15"/>
      <c r="Y11" s="15"/>
      <c r="Z11" s="26">
        <v>4</v>
      </c>
      <c r="AA11" s="22">
        <f>COUNTIF($V$21:$V24,$AA$7)</f>
        <v>2</v>
      </c>
      <c r="AB11" s="22">
        <f>COUNTIF($V$21:$V24,$AB$7)</f>
        <v>2</v>
      </c>
      <c r="AC11" s="22">
        <f>COUNTIF($V$21:$V24,$AC$7)</f>
        <v>0</v>
      </c>
      <c r="AD11" s="22">
        <f t="shared" si="3"/>
        <v>2</v>
      </c>
      <c r="AE11" s="27" t="str">
        <f t="shared" si="12"/>
        <v>setosa</v>
      </c>
      <c r="AF11" s="19"/>
    </row>
    <row r="12" spans="2:32" ht="20.25" thickBot="1" x14ac:dyDescent="0.3">
      <c r="B12" s="8">
        <v>5</v>
      </c>
      <c r="C12" s="20">
        <v>6.1</v>
      </c>
      <c r="D12" s="20">
        <v>3</v>
      </c>
      <c r="E12" s="20">
        <v>4.5999999999999996</v>
      </c>
      <c r="F12" s="20">
        <v>1.4</v>
      </c>
      <c r="G12" s="21" t="s">
        <v>17</v>
      </c>
      <c r="H12" s="1"/>
      <c r="I12" s="8">
        <v>5</v>
      </c>
      <c r="J12" s="62">
        <f t="shared" si="4"/>
        <v>0.93846153846153846</v>
      </c>
      <c r="K12" s="62">
        <f t="shared" si="5"/>
        <v>0.8571428571428571</v>
      </c>
      <c r="L12" s="62">
        <f t="shared" si="6"/>
        <v>0.8214285714285714</v>
      </c>
      <c r="M12" s="62">
        <f t="shared" si="7"/>
        <v>0.77777777777777768</v>
      </c>
      <c r="N12" s="21" t="s">
        <v>17</v>
      </c>
      <c r="O12" s="15"/>
      <c r="P12" s="15"/>
      <c r="Q12" s="26">
        <v>5</v>
      </c>
      <c r="R12" s="42">
        <f t="shared" si="8"/>
        <v>0</v>
      </c>
      <c r="S12" s="42">
        <f t="shared" si="9"/>
        <v>2.0408163265306135E-2</v>
      </c>
      <c r="T12" s="42">
        <f t="shared" si="10"/>
        <v>3.1887755102041383E-4</v>
      </c>
      <c r="U12" s="42">
        <f t="shared" si="11"/>
        <v>0.44444444444444425</v>
      </c>
      <c r="V12" s="42"/>
      <c r="W12" s="67">
        <f t="shared" si="2"/>
        <v>0.46517148526077079</v>
      </c>
      <c r="X12" s="15"/>
      <c r="Y12" s="15"/>
      <c r="Z12" s="26">
        <v>5</v>
      </c>
      <c r="AA12" s="22">
        <f>COUNTIF($V$21:$V25,$AA$7)</f>
        <v>2</v>
      </c>
      <c r="AB12" s="22">
        <f>COUNTIF($V$21:$V25,$AB$7)</f>
        <v>3</v>
      </c>
      <c r="AC12" s="22">
        <f>COUNTIF($V$21:$V25,$AC$7)</f>
        <v>0</v>
      </c>
      <c r="AD12" s="22">
        <f t="shared" si="3"/>
        <v>3</v>
      </c>
      <c r="AE12" s="27" t="str">
        <f t="shared" si="12"/>
        <v>versicolor</v>
      </c>
      <c r="AF12" s="19"/>
    </row>
    <row r="13" spans="2:32" ht="20.25" thickBot="1" x14ac:dyDescent="0.3">
      <c r="B13" s="8">
        <v>6</v>
      </c>
      <c r="C13" s="20">
        <v>6.1</v>
      </c>
      <c r="D13" s="20">
        <v>2.8</v>
      </c>
      <c r="E13" s="20">
        <v>4.7</v>
      </c>
      <c r="F13" s="20">
        <v>1.2</v>
      </c>
      <c r="G13" s="21" t="s">
        <v>17</v>
      </c>
      <c r="H13" s="1"/>
      <c r="I13" s="8">
        <v>6</v>
      </c>
      <c r="J13" s="62">
        <f t="shared" si="4"/>
        <v>0.93846153846153846</v>
      </c>
      <c r="K13" s="62">
        <f t="shared" si="5"/>
        <v>0.79999999999999993</v>
      </c>
      <c r="L13" s="62">
        <f t="shared" si="6"/>
        <v>0.83928571428571441</v>
      </c>
      <c r="M13" s="62">
        <f t="shared" si="7"/>
        <v>0.66666666666666663</v>
      </c>
      <c r="N13" s="21" t="s">
        <v>17</v>
      </c>
      <c r="O13" s="15"/>
      <c r="P13" s="15"/>
      <c r="Q13" s="26">
        <v>6</v>
      </c>
      <c r="R13" s="42">
        <f t="shared" si="8"/>
        <v>0</v>
      </c>
      <c r="S13" s="42">
        <f t="shared" si="9"/>
        <v>4.0000000000000029E-2</v>
      </c>
      <c r="T13" s="42">
        <f t="shared" si="10"/>
        <v>0</v>
      </c>
      <c r="U13" s="42">
        <f t="shared" si="11"/>
        <v>0.3086419753086419</v>
      </c>
      <c r="V13" s="42"/>
      <c r="W13" s="67">
        <f t="shared" si="2"/>
        <v>0.34864197530864194</v>
      </c>
      <c r="X13" s="15"/>
      <c r="Y13" s="15"/>
      <c r="Z13" s="26">
        <v>6</v>
      </c>
      <c r="AA13" s="22">
        <f>COUNTIF($V$21:$V26,$AA$7)</f>
        <v>2</v>
      </c>
      <c r="AB13" s="22">
        <f>COUNTIF($V$21:$V26,$AB$7)</f>
        <v>3</v>
      </c>
      <c r="AC13" s="22">
        <f>COUNTIF($V$21:$V26,$AC$7)</f>
        <v>1</v>
      </c>
      <c r="AD13" s="22">
        <f t="shared" si="3"/>
        <v>3</v>
      </c>
      <c r="AE13" s="27" t="str">
        <f t="shared" si="12"/>
        <v>versicolor</v>
      </c>
      <c r="AF13" s="19"/>
    </row>
    <row r="14" spans="2:32" ht="20.25" thickBot="1" x14ac:dyDescent="0.3">
      <c r="B14" s="8">
        <v>7</v>
      </c>
      <c r="C14" s="20">
        <v>6.1</v>
      </c>
      <c r="D14" s="20">
        <v>2.6</v>
      </c>
      <c r="E14" s="20">
        <v>5.6</v>
      </c>
      <c r="F14" s="20">
        <v>1.4</v>
      </c>
      <c r="G14" s="21" t="s">
        <v>18</v>
      </c>
      <c r="H14" s="1"/>
      <c r="I14" s="8">
        <v>7</v>
      </c>
      <c r="J14" s="62">
        <f t="shared" si="4"/>
        <v>0.93846153846153846</v>
      </c>
      <c r="K14" s="62">
        <f t="shared" si="5"/>
        <v>0.74285714285714288</v>
      </c>
      <c r="L14" s="62">
        <f t="shared" si="6"/>
        <v>1</v>
      </c>
      <c r="M14" s="62">
        <f t="shared" si="7"/>
        <v>0.77777777777777768</v>
      </c>
      <c r="N14" s="21" t="s">
        <v>18</v>
      </c>
      <c r="O14" s="15"/>
      <c r="P14" s="15"/>
      <c r="Q14" s="26">
        <v>7</v>
      </c>
      <c r="R14" s="42">
        <f t="shared" si="8"/>
        <v>0</v>
      </c>
      <c r="S14" s="42">
        <f t="shared" si="9"/>
        <v>6.6122448979591825E-2</v>
      </c>
      <c r="T14" s="42">
        <f t="shared" si="10"/>
        <v>2.5829081632653021E-2</v>
      </c>
      <c r="U14" s="42">
        <f t="shared" si="11"/>
        <v>0.44444444444444425</v>
      </c>
      <c r="V14" s="42"/>
      <c r="W14" s="67">
        <f t="shared" si="2"/>
        <v>0.53639597505668912</v>
      </c>
      <c r="X14" s="15"/>
      <c r="Y14" s="15"/>
      <c r="Z14" s="26">
        <v>7</v>
      </c>
      <c r="AA14" s="22">
        <f>COUNTIF($V$21:$V27,$AA$7)</f>
        <v>2</v>
      </c>
      <c r="AB14" s="22">
        <f>COUNTIF($V$21:$V27,$AB$7)</f>
        <v>3</v>
      </c>
      <c r="AC14" s="22">
        <f>COUNTIF($V$21:$V27,$AC$7)</f>
        <v>2</v>
      </c>
      <c r="AD14" s="22">
        <f t="shared" ref="AD14:AD16" si="13">MAX(AA14:AC14)</f>
        <v>3</v>
      </c>
      <c r="AE14" s="27" t="str">
        <f t="shared" si="12"/>
        <v>versicolor</v>
      </c>
      <c r="AF14" s="19"/>
    </row>
    <row r="15" spans="2:32" ht="20.25" thickBot="1" x14ac:dyDescent="0.3">
      <c r="B15" s="3">
        <v>8</v>
      </c>
      <c r="C15" s="20">
        <v>6.1</v>
      </c>
      <c r="D15" s="20">
        <v>3</v>
      </c>
      <c r="E15" s="20">
        <v>4.9000000000000004</v>
      </c>
      <c r="F15" s="20">
        <v>1.8</v>
      </c>
      <c r="G15" s="21" t="s">
        <v>18</v>
      </c>
      <c r="H15" s="1"/>
      <c r="I15" s="3">
        <v>8</v>
      </c>
      <c r="J15" s="62">
        <f t="shared" si="4"/>
        <v>0.93846153846153846</v>
      </c>
      <c r="K15" s="62">
        <f t="shared" si="5"/>
        <v>0.8571428571428571</v>
      </c>
      <c r="L15" s="62">
        <f t="shared" si="6"/>
        <v>0.87500000000000011</v>
      </c>
      <c r="M15" s="62">
        <f t="shared" si="7"/>
        <v>1</v>
      </c>
      <c r="N15" s="21" t="s">
        <v>18</v>
      </c>
      <c r="O15" s="15"/>
      <c r="P15" s="15"/>
      <c r="Q15" s="26">
        <v>8</v>
      </c>
      <c r="R15" s="42">
        <f t="shared" si="8"/>
        <v>0</v>
      </c>
      <c r="S15" s="42">
        <f t="shared" si="9"/>
        <v>2.0408163265306135E-2</v>
      </c>
      <c r="T15" s="42">
        <f t="shared" si="10"/>
        <v>1.2755102040816315E-3</v>
      </c>
      <c r="U15" s="42">
        <f t="shared" si="11"/>
        <v>0.79012345679012341</v>
      </c>
      <c r="V15" s="42"/>
      <c r="W15" s="67">
        <f t="shared" si="2"/>
        <v>0.81180713025951112</v>
      </c>
      <c r="X15" s="15"/>
      <c r="Y15" s="15"/>
      <c r="Z15" s="26">
        <v>8</v>
      </c>
      <c r="AA15" s="22">
        <f>COUNTIF($V$21:$V28,$AA$7)</f>
        <v>2</v>
      </c>
      <c r="AB15" s="22">
        <f>COUNTIF($V$21:$V28,$AB$7)</f>
        <v>3</v>
      </c>
      <c r="AC15" s="22">
        <f>COUNTIF($V$21:$V28,$AC$7)</f>
        <v>3</v>
      </c>
      <c r="AD15" s="22">
        <f t="shared" si="13"/>
        <v>3</v>
      </c>
      <c r="AE15" s="27" t="str">
        <f t="shared" si="12"/>
        <v>versicolor</v>
      </c>
      <c r="AF15" s="19"/>
    </row>
    <row r="16" spans="2:32" ht="20.25" thickBot="1" x14ac:dyDescent="0.3">
      <c r="B16" s="9">
        <v>9</v>
      </c>
      <c r="C16" s="28">
        <v>6.5</v>
      </c>
      <c r="D16" s="28">
        <v>3</v>
      </c>
      <c r="E16" s="28">
        <v>5.5</v>
      </c>
      <c r="F16" s="28">
        <v>1.8</v>
      </c>
      <c r="G16" s="29" t="s">
        <v>18</v>
      </c>
      <c r="H16" s="1"/>
      <c r="I16" s="9">
        <v>9</v>
      </c>
      <c r="J16" s="63">
        <f t="shared" si="4"/>
        <v>1</v>
      </c>
      <c r="K16" s="63">
        <f t="shared" si="5"/>
        <v>0.8571428571428571</v>
      </c>
      <c r="L16" s="63">
        <f t="shared" si="6"/>
        <v>0.98214285714285721</v>
      </c>
      <c r="M16" s="63">
        <f t="shared" si="7"/>
        <v>1</v>
      </c>
      <c r="N16" s="29" t="s">
        <v>18</v>
      </c>
      <c r="O16" s="15"/>
      <c r="P16" s="15"/>
      <c r="Q16" s="30">
        <v>9</v>
      </c>
      <c r="R16" s="45">
        <f t="shared" si="8"/>
        <v>3.7869822485207105E-3</v>
      </c>
      <c r="S16" s="45">
        <f t="shared" si="9"/>
        <v>2.0408163265306135E-2</v>
      </c>
      <c r="T16" s="45">
        <f t="shared" si="10"/>
        <v>2.0408163265306103E-2</v>
      </c>
      <c r="U16" s="45">
        <f t="shared" si="11"/>
        <v>0.79012345679012341</v>
      </c>
      <c r="V16" s="45"/>
      <c r="W16" s="68">
        <f t="shared" si="2"/>
        <v>0.8347267655692564</v>
      </c>
      <c r="X16" s="15"/>
      <c r="Y16" s="15"/>
      <c r="Z16" s="30">
        <v>9</v>
      </c>
      <c r="AA16" s="31">
        <f>COUNTIF($V$21:$V29,$AA$7)</f>
        <v>3</v>
      </c>
      <c r="AB16" s="31">
        <f>COUNTIF($V$21:$V29,$AB$7)</f>
        <v>3</v>
      </c>
      <c r="AC16" s="31">
        <f>COUNTIF($V$21:$V29,$AC$7)</f>
        <v>3</v>
      </c>
      <c r="AD16" s="31">
        <f t="shared" si="13"/>
        <v>3</v>
      </c>
      <c r="AE16" s="32" t="str">
        <f t="shared" si="12"/>
        <v>setosa</v>
      </c>
      <c r="AF16" s="19"/>
    </row>
    <row r="17" spans="2:32" ht="24.75" customHeight="1" thickBot="1" x14ac:dyDescent="0.25">
      <c r="B17" s="59" t="s">
        <v>19</v>
      </c>
      <c r="C17" s="60">
        <f>MAX(C8:C16)</f>
        <v>6.5</v>
      </c>
      <c r="D17" s="60">
        <f t="shared" ref="D17:F17" si="14">MAX(D8:D16)</f>
        <v>3.5</v>
      </c>
      <c r="E17" s="60">
        <f t="shared" si="14"/>
        <v>5.6</v>
      </c>
      <c r="F17" s="61">
        <f t="shared" si="14"/>
        <v>1.8</v>
      </c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6"/>
    </row>
    <row r="18" spans="2:32" ht="24.75" customHeight="1" thickBot="1" x14ac:dyDescent="0.25">
      <c r="B18" s="59" t="s">
        <v>38</v>
      </c>
      <c r="C18" s="60">
        <f>MIN(C8:C16)</f>
        <v>4.9000000000000004</v>
      </c>
      <c r="D18" s="60">
        <f t="shared" ref="D18:F18" si="15">MIN(D8:D16)</f>
        <v>2.6</v>
      </c>
      <c r="E18" s="60">
        <f t="shared" si="15"/>
        <v>1.3</v>
      </c>
      <c r="F18" s="60">
        <f t="shared" si="15"/>
        <v>0.2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6"/>
    </row>
    <row r="19" spans="2:32" ht="28.5" thickBot="1" x14ac:dyDescent="0.55000000000000004">
      <c r="B19" s="74" t="s">
        <v>21</v>
      </c>
      <c r="C19" s="75"/>
      <c r="D19" s="75"/>
      <c r="E19" s="75"/>
      <c r="F19" s="75"/>
      <c r="G19" s="75"/>
      <c r="H19" s="1"/>
      <c r="I19" s="1"/>
      <c r="J19" s="1"/>
      <c r="K19" s="1"/>
      <c r="L19" s="1"/>
      <c r="M19" s="1"/>
      <c r="N19" s="1"/>
      <c r="O19" s="1"/>
      <c r="P19" s="1"/>
      <c r="Q19" s="71" t="s">
        <v>22</v>
      </c>
      <c r="R19" s="72"/>
      <c r="S19" s="72"/>
      <c r="T19" s="72"/>
      <c r="U19" s="72"/>
      <c r="V19" s="72"/>
      <c r="W19" s="73"/>
      <c r="X19" s="1"/>
      <c r="Y19" s="1"/>
      <c r="Z19" s="80" t="s">
        <v>23</v>
      </c>
      <c r="AA19" s="81"/>
      <c r="AB19" s="81"/>
      <c r="AC19" s="81"/>
      <c r="AD19" s="81"/>
      <c r="AE19" s="81"/>
      <c r="AF19" s="82"/>
    </row>
    <row r="20" spans="2:32" ht="20.25" thickBot="1" x14ac:dyDescent="0.3">
      <c r="B20" s="33" t="s">
        <v>13</v>
      </c>
      <c r="C20" s="34" t="s">
        <v>3</v>
      </c>
      <c r="D20" s="34" t="s">
        <v>4</v>
      </c>
      <c r="E20" s="34" t="s">
        <v>5</v>
      </c>
      <c r="F20" s="34" t="s">
        <v>6</v>
      </c>
      <c r="G20" s="35" t="s">
        <v>14</v>
      </c>
      <c r="H20" s="1"/>
      <c r="I20" s="1"/>
      <c r="J20" s="1"/>
      <c r="K20" s="1"/>
      <c r="L20" s="1"/>
      <c r="M20" s="1"/>
      <c r="N20" s="1"/>
      <c r="O20" s="15"/>
      <c r="P20" s="15"/>
      <c r="Q20" s="36" t="s">
        <v>13</v>
      </c>
      <c r="R20" s="13" t="s">
        <v>3</v>
      </c>
      <c r="S20" s="13" t="s">
        <v>4</v>
      </c>
      <c r="T20" s="13" t="s">
        <v>5</v>
      </c>
      <c r="U20" s="13" t="s">
        <v>6</v>
      </c>
      <c r="V20" s="13" t="s">
        <v>24</v>
      </c>
      <c r="W20" s="48" t="s">
        <v>25</v>
      </c>
      <c r="X20" s="37" t="s">
        <v>26</v>
      </c>
      <c r="Y20" s="15"/>
      <c r="Z20" s="38" t="s">
        <v>2</v>
      </c>
      <c r="AA20" s="39" t="s">
        <v>16</v>
      </c>
      <c r="AB20" s="40" t="s">
        <v>17</v>
      </c>
      <c r="AC20" s="40" t="s">
        <v>18</v>
      </c>
      <c r="AD20" s="39" t="s">
        <v>19</v>
      </c>
      <c r="AE20" s="40" t="s">
        <v>20</v>
      </c>
    </row>
    <row r="21" spans="2:32" ht="21" thickTop="1" thickBot="1" x14ac:dyDescent="0.3">
      <c r="B21" s="41">
        <v>1</v>
      </c>
      <c r="C21" s="20">
        <v>5.0999999999999996</v>
      </c>
      <c r="D21" s="20">
        <v>3.5</v>
      </c>
      <c r="E21" s="20">
        <v>1.4</v>
      </c>
      <c r="F21" s="20">
        <v>0.2</v>
      </c>
      <c r="G21" s="21" t="s">
        <v>16</v>
      </c>
      <c r="H21" s="1"/>
      <c r="I21" s="1"/>
      <c r="J21" s="1"/>
      <c r="K21" s="1"/>
      <c r="L21" s="1"/>
      <c r="M21" s="1"/>
      <c r="N21" s="1"/>
      <c r="O21" s="15"/>
      <c r="P21" s="15"/>
      <c r="Q21" s="26">
        <f t="shared" ref="Q21:Q29" si="16">INDEX(I$8:I$16,MATCH($W21,$W$8:$W$16,0))</f>
        <v>6</v>
      </c>
      <c r="R21" s="42">
        <f t="shared" ref="R21:R29" si="17">INDEX(J$8:J$16,MATCH($W21,$W$8:$W$16,0))</f>
        <v>0.93846153846153846</v>
      </c>
      <c r="S21" s="42">
        <f t="shared" ref="S21:S29" si="18">INDEX(K$8:K$16,MATCH($W21,$W$8:$W$16,0))</f>
        <v>0.79999999999999993</v>
      </c>
      <c r="T21" s="42">
        <f t="shared" ref="T21:T29" si="19">INDEX(L$8:L$16,MATCH($W21,$W$8:$W$16,0))</f>
        <v>0.83928571428571441</v>
      </c>
      <c r="U21" s="42">
        <f t="shared" ref="U21:U29" si="20">INDEX(M$8:M$16,MATCH($W21,$W$8:$W$16,0))</f>
        <v>0.66666666666666663</v>
      </c>
      <c r="V21" s="42" t="str">
        <f t="shared" ref="V21:V29" si="21">INDEX($N$8:$N$16,MATCH(W21,W$8:W$16,0))</f>
        <v>versicolor</v>
      </c>
      <c r="W21" s="67">
        <f t="shared" ref="W21:W29" si="22">SMALL(W$8:W$16,Z8)</f>
        <v>0.34864197530864194</v>
      </c>
      <c r="X21" s="43">
        <f t="shared" ref="X21:X29" si="23">1/W21</f>
        <v>2.8682719546742215</v>
      </c>
      <c r="Y21" s="15"/>
      <c r="Z21" s="26">
        <v>1</v>
      </c>
      <c r="AA21" s="42">
        <f>SUMIF($V$21:$V21,AA$20,$X$21:$X21)</f>
        <v>0</v>
      </c>
      <c r="AB21" s="42">
        <f>SUMIF($V$21:$V21,AB$20,$X$21:$X21)</f>
        <v>2.8682719546742215</v>
      </c>
      <c r="AC21" s="42">
        <f>SUMIF($V$21:$V21,AC$20,$X$21:$X21)</f>
        <v>0</v>
      </c>
      <c r="AD21" s="42">
        <f>MAX(AA21:AC21)</f>
        <v>2.8682719546742215</v>
      </c>
      <c r="AE21" s="27" t="str">
        <f>INDEX($AA$20:$AC$20,MATCH(AD21,AA21:AC21,0))</f>
        <v>versicolor</v>
      </c>
    </row>
    <row r="22" spans="2:32" ht="20.25" thickBot="1" x14ac:dyDescent="0.3">
      <c r="B22" s="41">
        <v>2</v>
      </c>
      <c r="C22" s="20">
        <v>4.9000000000000004</v>
      </c>
      <c r="D22" s="20">
        <v>3</v>
      </c>
      <c r="E22" s="20">
        <v>1.4</v>
      </c>
      <c r="F22" s="20">
        <v>0.2</v>
      </c>
      <c r="G22" s="21" t="s">
        <v>16</v>
      </c>
      <c r="H22" s="1"/>
      <c r="I22" s="1"/>
      <c r="J22" s="1"/>
      <c r="K22" s="1"/>
      <c r="L22" s="1"/>
      <c r="M22" s="1"/>
      <c r="N22" s="1"/>
      <c r="O22" s="15"/>
      <c r="P22" s="15"/>
      <c r="Q22" s="26">
        <f t="shared" si="16"/>
        <v>3</v>
      </c>
      <c r="R22" s="42">
        <f t="shared" si="17"/>
        <v>0.84615384615384615</v>
      </c>
      <c r="S22" s="42">
        <f t="shared" si="18"/>
        <v>1</v>
      </c>
      <c r="T22" s="42">
        <f t="shared" si="19"/>
        <v>0.23214285714285718</v>
      </c>
      <c r="U22" s="42">
        <f t="shared" si="20"/>
        <v>0.11111111111111112</v>
      </c>
      <c r="V22" s="42" t="str">
        <f t="shared" si="21"/>
        <v>setosa</v>
      </c>
      <c r="W22" s="67">
        <f t="shared" si="22"/>
        <v>0.3771431590387635</v>
      </c>
      <c r="X22" s="43">
        <f t="shared" si="23"/>
        <v>2.6515130290278397</v>
      </c>
      <c r="Y22" s="15"/>
      <c r="Z22" s="26">
        <v>2</v>
      </c>
      <c r="AA22" s="42">
        <f>SUMIF($V$21:$V22,AA$20,$X$21:$X22)</f>
        <v>2.6515130290278397</v>
      </c>
      <c r="AB22" s="42">
        <f>SUMIF($V$21:$V22,AB$20,$X$21:$X22)</f>
        <v>2.8682719546742215</v>
      </c>
      <c r="AC22" s="42">
        <f>SUMIF($V$21:$V22,AC$20,$X$21:$X22)</f>
        <v>0</v>
      </c>
      <c r="AD22" s="42">
        <f t="shared" ref="AD22:AD26" si="24">MAX(AA22:AC22)</f>
        <v>2.8682719546742215</v>
      </c>
      <c r="AE22" s="27" t="str">
        <f t="shared" ref="AE22:AE29" si="25">INDEX($AA$20:$AC$20,MATCH(AD22,AA22:AC22,0))</f>
        <v>versicolor</v>
      </c>
    </row>
    <row r="23" spans="2:32" ht="20.25" thickBot="1" x14ac:dyDescent="0.3">
      <c r="B23" s="26">
        <v>3</v>
      </c>
      <c r="C23" s="20">
        <v>5.5</v>
      </c>
      <c r="D23" s="20">
        <v>3.5</v>
      </c>
      <c r="E23" s="20">
        <v>1.3</v>
      </c>
      <c r="F23" s="20">
        <v>0.2</v>
      </c>
      <c r="G23" s="21" t="s">
        <v>16</v>
      </c>
      <c r="H23" s="1"/>
      <c r="I23" s="1"/>
      <c r="J23" s="1"/>
      <c r="K23" s="1"/>
      <c r="L23" s="1"/>
      <c r="M23" s="1"/>
      <c r="N23" s="1"/>
      <c r="O23" s="15"/>
      <c r="P23" s="15"/>
      <c r="Q23" s="26">
        <f t="shared" si="16"/>
        <v>2</v>
      </c>
      <c r="R23" s="42">
        <f t="shared" si="17"/>
        <v>0.75384615384615394</v>
      </c>
      <c r="S23" s="42">
        <f t="shared" si="18"/>
        <v>0.8571428571428571</v>
      </c>
      <c r="T23" s="42">
        <f t="shared" si="19"/>
        <v>0.25</v>
      </c>
      <c r="U23" s="42">
        <f t="shared" si="20"/>
        <v>0.11111111111111112</v>
      </c>
      <c r="V23" s="42" t="str">
        <f t="shared" si="21"/>
        <v>setosa</v>
      </c>
      <c r="W23" s="67">
        <f t="shared" si="22"/>
        <v>0.40174865656321712</v>
      </c>
      <c r="X23" s="43">
        <f t="shared" si="23"/>
        <v>2.4891184666417052</v>
      </c>
      <c r="Y23" s="15"/>
      <c r="Z23" s="26">
        <v>3</v>
      </c>
      <c r="AA23" s="42">
        <f>SUMIF($V$21:$V23,AA$20,$X$21:$X23)</f>
        <v>5.1406314956695454</v>
      </c>
      <c r="AB23" s="42">
        <f>SUMIF($V$21:$V23,AB$20,$X$21:$X23)</f>
        <v>2.8682719546742215</v>
      </c>
      <c r="AC23" s="42">
        <f>SUMIF($V$21:$V23,AC$20,$X$21:$X23)</f>
        <v>0</v>
      </c>
      <c r="AD23" s="42">
        <f t="shared" si="24"/>
        <v>5.1406314956695454</v>
      </c>
      <c r="AE23" s="27" t="str">
        <f t="shared" si="25"/>
        <v>setosa</v>
      </c>
    </row>
    <row r="24" spans="2:32" ht="20.25" thickBot="1" x14ac:dyDescent="0.3">
      <c r="B24" s="26">
        <v>4</v>
      </c>
      <c r="C24" s="20">
        <v>6.1</v>
      </c>
      <c r="D24" s="20">
        <v>2.9</v>
      </c>
      <c r="E24" s="20">
        <v>4.7</v>
      </c>
      <c r="F24" s="20">
        <v>1.4</v>
      </c>
      <c r="G24" s="21" t="s">
        <v>17</v>
      </c>
      <c r="H24" s="1"/>
      <c r="I24" s="1"/>
      <c r="J24" s="1"/>
      <c r="K24" s="1"/>
      <c r="L24" s="1"/>
      <c r="M24" s="1"/>
      <c r="N24" s="1"/>
      <c r="O24" s="15"/>
      <c r="P24" s="15"/>
      <c r="Q24" s="26">
        <f t="shared" si="16"/>
        <v>5</v>
      </c>
      <c r="R24" s="42">
        <f t="shared" si="17"/>
        <v>0.93846153846153846</v>
      </c>
      <c r="S24" s="42">
        <f t="shared" si="18"/>
        <v>0.8571428571428571</v>
      </c>
      <c r="T24" s="42">
        <f t="shared" si="19"/>
        <v>0.8214285714285714</v>
      </c>
      <c r="U24" s="42">
        <f t="shared" si="20"/>
        <v>0.77777777777777768</v>
      </c>
      <c r="V24" s="42" t="str">
        <f t="shared" si="21"/>
        <v>versicolor</v>
      </c>
      <c r="W24" s="67">
        <f t="shared" si="22"/>
        <v>0.46517148526077079</v>
      </c>
      <c r="X24" s="43">
        <f t="shared" si="23"/>
        <v>2.1497448396679117</v>
      </c>
      <c r="Y24" s="15"/>
      <c r="Z24" s="26">
        <v>4</v>
      </c>
      <c r="AA24" s="42">
        <f>SUMIF($V$21:$V24,AA$20,$X$21:$X24)</f>
        <v>5.1406314956695454</v>
      </c>
      <c r="AB24" s="42">
        <f>SUMIF($V$21:$V24,AB$20,$X$21:$X24)</f>
        <v>5.0180167943421328</v>
      </c>
      <c r="AC24" s="42">
        <f>SUMIF($V$21:$V24,AC$20,$X$21:$X24)</f>
        <v>0</v>
      </c>
      <c r="AD24" s="42">
        <f t="shared" si="24"/>
        <v>5.1406314956695454</v>
      </c>
      <c r="AE24" s="27" t="str">
        <f t="shared" si="25"/>
        <v>setosa</v>
      </c>
    </row>
    <row r="25" spans="2:32" ht="20.25" thickBot="1" x14ac:dyDescent="0.3">
      <c r="B25" s="26">
        <v>5</v>
      </c>
      <c r="C25" s="20">
        <v>6.1</v>
      </c>
      <c r="D25" s="20">
        <v>3</v>
      </c>
      <c r="E25" s="20">
        <v>4.5999999999999996</v>
      </c>
      <c r="F25" s="20">
        <v>1.4</v>
      </c>
      <c r="G25" s="21" t="s">
        <v>17</v>
      </c>
      <c r="H25" s="1"/>
      <c r="I25" s="1"/>
      <c r="J25" s="1"/>
      <c r="K25" s="1"/>
      <c r="L25" s="1"/>
      <c r="M25" s="1"/>
      <c r="N25" s="1"/>
      <c r="O25" s="15"/>
      <c r="P25" s="15"/>
      <c r="Q25" s="26">
        <f t="shared" si="16"/>
        <v>4</v>
      </c>
      <c r="R25" s="42">
        <f t="shared" si="17"/>
        <v>0.93846153846153846</v>
      </c>
      <c r="S25" s="42">
        <f t="shared" si="18"/>
        <v>0.82857142857142851</v>
      </c>
      <c r="T25" s="42">
        <f t="shared" si="19"/>
        <v>0.83928571428571441</v>
      </c>
      <c r="U25" s="42">
        <f t="shared" si="20"/>
        <v>0.77777777777777768</v>
      </c>
      <c r="V25" s="42" t="str">
        <f t="shared" si="21"/>
        <v>versicolor</v>
      </c>
      <c r="W25" s="67">
        <f t="shared" si="22"/>
        <v>0.47383219954648509</v>
      </c>
      <c r="X25" s="43">
        <f t="shared" si="23"/>
        <v>2.1104517611026044</v>
      </c>
      <c r="Y25" s="15"/>
      <c r="Z25" s="26">
        <v>5</v>
      </c>
      <c r="AA25" s="42">
        <f>SUMIF($V$21:$V25,AA$20,$X$21:$X25)</f>
        <v>5.1406314956695454</v>
      </c>
      <c r="AB25" s="42">
        <f>SUMIF($V$21:$V25,AB$20,$X$21:$X25)</f>
        <v>7.1284685554447371</v>
      </c>
      <c r="AC25" s="42">
        <f>SUMIF($V$21:$V25,AC$20,$X$21:$X25)</f>
        <v>0</v>
      </c>
      <c r="AD25" s="42">
        <f t="shared" si="24"/>
        <v>7.1284685554447371</v>
      </c>
      <c r="AE25" s="27" t="str">
        <f t="shared" si="25"/>
        <v>versicolor</v>
      </c>
    </row>
    <row r="26" spans="2:32" ht="20.25" thickBot="1" x14ac:dyDescent="0.3">
      <c r="B26" s="26">
        <v>6</v>
      </c>
      <c r="C26" s="20">
        <v>6.1</v>
      </c>
      <c r="D26" s="20">
        <v>2.8</v>
      </c>
      <c r="E26" s="20">
        <v>4.7</v>
      </c>
      <c r="F26" s="20">
        <v>1.2</v>
      </c>
      <c r="G26" s="21" t="s">
        <v>17</v>
      </c>
      <c r="H26" s="1"/>
      <c r="I26" s="1"/>
      <c r="J26" s="1"/>
      <c r="K26" s="1"/>
      <c r="L26" s="1"/>
      <c r="M26" s="1"/>
      <c r="N26" s="1"/>
      <c r="O26" s="15"/>
      <c r="P26" s="15"/>
      <c r="Q26" s="26">
        <f t="shared" si="16"/>
        <v>7</v>
      </c>
      <c r="R26" s="42">
        <f t="shared" si="17"/>
        <v>0.93846153846153846</v>
      </c>
      <c r="S26" s="42">
        <f t="shared" si="18"/>
        <v>0.74285714285714288</v>
      </c>
      <c r="T26" s="42">
        <f t="shared" si="19"/>
        <v>1</v>
      </c>
      <c r="U26" s="42">
        <f t="shared" si="20"/>
        <v>0.77777777777777768</v>
      </c>
      <c r="V26" s="42" t="str">
        <f t="shared" si="21"/>
        <v>virginica</v>
      </c>
      <c r="W26" s="67">
        <f t="shared" si="22"/>
        <v>0.53639597505668912</v>
      </c>
      <c r="X26" s="43">
        <f t="shared" si="23"/>
        <v>1.8642943767322542</v>
      </c>
      <c r="Y26" s="15"/>
      <c r="Z26" s="26">
        <v>6</v>
      </c>
      <c r="AA26" s="42">
        <f>SUMIF($V$21:$V26,AA$20,$X$21:$X26)</f>
        <v>5.1406314956695454</v>
      </c>
      <c r="AB26" s="42">
        <f>SUMIF($V$21:$V26,AB$20,$X$21:$X26)</f>
        <v>7.1284685554447371</v>
      </c>
      <c r="AC26" s="42">
        <f>SUMIF($V$21:$V26,AC$20,$X$21:$X26)</f>
        <v>1.8642943767322542</v>
      </c>
      <c r="AD26" s="42">
        <f t="shared" si="24"/>
        <v>7.1284685554447371</v>
      </c>
      <c r="AE26" s="27" t="str">
        <f t="shared" si="25"/>
        <v>versicolor</v>
      </c>
    </row>
    <row r="27" spans="2:32" ht="20.25" thickBot="1" x14ac:dyDescent="0.3">
      <c r="B27" s="26">
        <v>7</v>
      </c>
      <c r="C27" s="20">
        <v>6.1</v>
      </c>
      <c r="D27" s="20">
        <v>2.6</v>
      </c>
      <c r="E27" s="20">
        <v>5.6</v>
      </c>
      <c r="F27" s="20">
        <v>1.4</v>
      </c>
      <c r="G27" s="21" t="s">
        <v>18</v>
      </c>
      <c r="H27" s="1"/>
      <c r="I27" s="1"/>
      <c r="J27" s="1"/>
      <c r="K27" s="1"/>
      <c r="L27" s="1"/>
      <c r="M27" s="1"/>
      <c r="N27" s="1"/>
      <c r="O27" s="15"/>
      <c r="P27" s="15"/>
      <c r="Q27" s="26">
        <f t="shared" si="16"/>
        <v>8</v>
      </c>
      <c r="R27" s="42">
        <f t="shared" si="17"/>
        <v>0.93846153846153846</v>
      </c>
      <c r="S27" s="42">
        <f t="shared" si="18"/>
        <v>0.8571428571428571</v>
      </c>
      <c r="T27" s="42">
        <f t="shared" si="19"/>
        <v>0.87500000000000011</v>
      </c>
      <c r="U27" s="42">
        <f t="shared" si="20"/>
        <v>1</v>
      </c>
      <c r="V27" s="42" t="str">
        <f t="shared" si="21"/>
        <v>virginica</v>
      </c>
      <c r="W27" s="67">
        <f t="shared" si="22"/>
        <v>0.81180713025951112</v>
      </c>
      <c r="X27" s="43">
        <f t="shared" si="23"/>
        <v>1.2318196807169322</v>
      </c>
      <c r="Y27" s="15"/>
      <c r="Z27" s="26">
        <v>7</v>
      </c>
      <c r="AA27" s="42">
        <f>SUMIF($V$21:$V27,AA$20,$X$21:$X27)</f>
        <v>5.1406314956695454</v>
      </c>
      <c r="AB27" s="42">
        <f>SUMIF($V$21:$V27,AB$20,$X$21:$X27)</f>
        <v>7.1284685554447371</v>
      </c>
      <c r="AC27" s="42">
        <f>SUMIF($V$21:$V27,AC$20,$X$21:$X27)</f>
        <v>3.0961140574491863</v>
      </c>
      <c r="AD27" s="42">
        <f>MAX(AA27:AC27)</f>
        <v>7.1284685554447371</v>
      </c>
      <c r="AE27" s="27" t="str">
        <f t="shared" si="25"/>
        <v>versicolor</v>
      </c>
    </row>
    <row r="28" spans="2:32" ht="20.25" thickBot="1" x14ac:dyDescent="0.3">
      <c r="B28" s="41">
        <v>8</v>
      </c>
      <c r="C28" s="20">
        <v>6.1</v>
      </c>
      <c r="D28" s="20">
        <v>3</v>
      </c>
      <c r="E28" s="20">
        <v>4.9000000000000004</v>
      </c>
      <c r="F28" s="20">
        <v>1.8</v>
      </c>
      <c r="G28" s="21" t="s">
        <v>18</v>
      </c>
      <c r="H28" s="1"/>
      <c r="I28" s="1"/>
      <c r="J28" s="1"/>
      <c r="K28" s="1"/>
      <c r="L28" s="1"/>
      <c r="M28" s="1"/>
      <c r="N28" s="1"/>
      <c r="O28" s="15"/>
      <c r="P28" s="15"/>
      <c r="Q28" s="26">
        <f t="shared" si="16"/>
        <v>9</v>
      </c>
      <c r="R28" s="42">
        <f t="shared" si="17"/>
        <v>1</v>
      </c>
      <c r="S28" s="42">
        <f t="shared" si="18"/>
        <v>0.8571428571428571</v>
      </c>
      <c r="T28" s="42">
        <f t="shared" si="19"/>
        <v>0.98214285714285721</v>
      </c>
      <c r="U28" s="42">
        <f t="shared" si="20"/>
        <v>1</v>
      </c>
      <c r="V28" s="42" t="str">
        <f t="shared" si="21"/>
        <v>virginica</v>
      </c>
      <c r="W28" s="67">
        <f t="shared" si="22"/>
        <v>0.8347267655692564</v>
      </c>
      <c r="X28" s="43">
        <f t="shared" si="23"/>
        <v>1.1979968071564504</v>
      </c>
      <c r="Y28" s="15"/>
      <c r="Z28" s="26">
        <v>8</v>
      </c>
      <c r="AA28" s="42">
        <f>SUMIF($V$21:$V28,AA$20,$X$21:$X28)</f>
        <v>5.1406314956695454</v>
      </c>
      <c r="AB28" s="42">
        <f>SUMIF($V$21:$V28,AB$20,$X$21:$X28)</f>
        <v>7.1284685554447371</v>
      </c>
      <c r="AC28" s="42">
        <f>SUMIF($V$21:$V28,AC$20,$X$21:$X28)</f>
        <v>4.2941108646056367</v>
      </c>
      <c r="AD28" s="42">
        <f t="shared" ref="AD28:AD29" si="26">MAX(AA28:AC28)</f>
        <v>7.1284685554447371</v>
      </c>
      <c r="AE28" s="27" t="str">
        <f t="shared" si="25"/>
        <v>versicolor</v>
      </c>
    </row>
    <row r="29" spans="2:32" ht="20.25" thickBot="1" x14ac:dyDescent="0.3">
      <c r="B29" s="44">
        <v>9</v>
      </c>
      <c r="C29" s="28">
        <v>6.5</v>
      </c>
      <c r="D29" s="28">
        <v>3</v>
      </c>
      <c r="E29" s="28">
        <v>5.5</v>
      </c>
      <c r="F29" s="28">
        <v>1.8</v>
      </c>
      <c r="G29" s="29" t="s">
        <v>18</v>
      </c>
      <c r="H29" s="1"/>
      <c r="I29" s="1"/>
      <c r="J29" s="1"/>
      <c r="K29" s="1"/>
      <c r="L29" s="1"/>
      <c r="M29" s="1"/>
      <c r="N29" s="1"/>
      <c r="O29" s="15"/>
      <c r="P29" s="15"/>
      <c r="Q29" s="30">
        <f t="shared" si="16"/>
        <v>1</v>
      </c>
      <c r="R29" s="45">
        <f t="shared" si="17"/>
        <v>0.12499999999999958</v>
      </c>
      <c r="S29" s="45">
        <f t="shared" si="18"/>
        <v>1</v>
      </c>
      <c r="T29" s="45">
        <f t="shared" si="19"/>
        <v>0.25</v>
      </c>
      <c r="U29" s="45">
        <f t="shared" si="20"/>
        <v>0.11111111111111112</v>
      </c>
      <c r="V29" s="45" t="str">
        <f t="shared" si="21"/>
        <v>setosa</v>
      </c>
      <c r="W29" s="68">
        <f t="shared" si="22"/>
        <v>1.0089773276174383</v>
      </c>
      <c r="X29" s="46">
        <f t="shared" si="23"/>
        <v>0.99110254772658068</v>
      </c>
      <c r="Y29" s="15"/>
      <c r="Z29" s="30">
        <v>9</v>
      </c>
      <c r="AA29" s="45">
        <f>SUMIF($V$21:$V29,AA$20,$X$21:$X29)</f>
        <v>6.1317340433961256</v>
      </c>
      <c r="AB29" s="45">
        <f>SUMIF($V$21:$V29,AB$20,$X$21:$X29)</f>
        <v>7.1284685554447371</v>
      </c>
      <c r="AC29" s="45">
        <f>SUMIF($V$21:$V29,AC$20,$X$21:$X29)</f>
        <v>4.2941108646056367</v>
      </c>
      <c r="AD29" s="45">
        <f t="shared" si="26"/>
        <v>7.1284685554447371</v>
      </c>
      <c r="AE29" s="32" t="str">
        <f t="shared" si="25"/>
        <v>versicolor</v>
      </c>
    </row>
    <row r="30" spans="2:32" ht="6.75" customHeight="1" thickBot="1" x14ac:dyDescent="0.25">
      <c r="B30" s="1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11"/>
    </row>
    <row r="35" spans="23:29" x14ac:dyDescent="0.2">
      <c r="W35" s="69"/>
    </row>
    <row r="36" spans="23:29" x14ac:dyDescent="0.2">
      <c r="AC36" s="69"/>
    </row>
    <row r="37" spans="23:29" x14ac:dyDescent="0.2">
      <c r="AC37" s="69"/>
    </row>
  </sheetData>
  <mergeCells count="11">
    <mergeCell ref="Z6:AE6"/>
    <mergeCell ref="B19:G19"/>
    <mergeCell ref="Q19:W19"/>
    <mergeCell ref="Z19:AF19"/>
    <mergeCell ref="B6:G6"/>
    <mergeCell ref="B3:G5"/>
    <mergeCell ref="I5:N5"/>
    <mergeCell ref="Q2:W2"/>
    <mergeCell ref="I6:N6"/>
    <mergeCell ref="Q6:W6"/>
    <mergeCell ref="K4:P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53"/>
  <sheetViews>
    <sheetView workbookViewId="0">
      <selection activeCell="F40" sqref="C40:F40"/>
    </sheetView>
  </sheetViews>
  <sheetFormatPr defaultRowHeight="12.75" x14ac:dyDescent="0.2"/>
  <sheetData>
    <row r="3" spans="2:7" x14ac:dyDescent="0.2"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14</v>
      </c>
    </row>
    <row r="4" spans="2:7" x14ac:dyDescent="0.2">
      <c r="B4">
        <v>1</v>
      </c>
      <c r="C4">
        <v>5.0999999999999996</v>
      </c>
      <c r="D4">
        <v>3.5</v>
      </c>
      <c r="E4">
        <v>1.4</v>
      </c>
      <c r="F4">
        <v>0.2</v>
      </c>
      <c r="G4" t="s">
        <v>35</v>
      </c>
    </row>
    <row r="5" spans="2:7" hidden="1" x14ac:dyDescent="0.2">
      <c r="B5">
        <v>2</v>
      </c>
      <c r="C5">
        <v>4.9000000000000004</v>
      </c>
      <c r="D5">
        <v>3</v>
      </c>
      <c r="E5">
        <v>1.4</v>
      </c>
      <c r="F5">
        <v>0.2</v>
      </c>
      <c r="G5" t="s">
        <v>35</v>
      </c>
    </row>
    <row r="6" spans="2:7" hidden="1" x14ac:dyDescent="0.2">
      <c r="B6">
        <v>3</v>
      </c>
      <c r="C6">
        <v>4.7</v>
      </c>
      <c r="D6">
        <v>3.2</v>
      </c>
      <c r="E6">
        <v>1.3</v>
      </c>
      <c r="F6">
        <v>0.2</v>
      </c>
      <c r="G6" t="s">
        <v>35</v>
      </c>
    </row>
    <row r="7" spans="2:7" hidden="1" x14ac:dyDescent="0.2">
      <c r="B7">
        <v>4</v>
      </c>
      <c r="C7">
        <v>4.5999999999999996</v>
      </c>
      <c r="D7">
        <v>3.1</v>
      </c>
      <c r="E7">
        <v>1.5</v>
      </c>
      <c r="F7">
        <v>0.2</v>
      </c>
      <c r="G7" t="s">
        <v>35</v>
      </c>
    </row>
    <row r="8" spans="2:7" hidden="1" x14ac:dyDescent="0.2">
      <c r="B8">
        <v>5</v>
      </c>
      <c r="C8">
        <v>5</v>
      </c>
      <c r="D8">
        <v>3.6</v>
      </c>
      <c r="E8">
        <v>1.4</v>
      </c>
      <c r="F8">
        <v>0.2</v>
      </c>
      <c r="G8" t="s">
        <v>35</v>
      </c>
    </row>
    <row r="9" spans="2:7" hidden="1" x14ac:dyDescent="0.2">
      <c r="B9">
        <v>6</v>
      </c>
      <c r="C9">
        <v>5.4</v>
      </c>
      <c r="D9">
        <v>3.9</v>
      </c>
      <c r="E9">
        <v>1.7</v>
      </c>
      <c r="F9">
        <v>0.4</v>
      </c>
      <c r="G9" t="s">
        <v>35</v>
      </c>
    </row>
    <row r="10" spans="2:7" hidden="1" x14ac:dyDescent="0.2">
      <c r="B10">
        <v>7</v>
      </c>
      <c r="C10">
        <v>4.5999999999999996</v>
      </c>
      <c r="D10">
        <v>3.4</v>
      </c>
      <c r="E10">
        <v>1.4</v>
      </c>
      <c r="F10">
        <v>0.3</v>
      </c>
      <c r="G10" t="s">
        <v>35</v>
      </c>
    </row>
    <row r="11" spans="2:7" hidden="1" x14ac:dyDescent="0.2">
      <c r="B11">
        <v>8</v>
      </c>
      <c r="C11">
        <v>5</v>
      </c>
      <c r="D11">
        <v>3.4</v>
      </c>
      <c r="E11">
        <v>1.5</v>
      </c>
      <c r="F11">
        <v>0.2</v>
      </c>
      <c r="G11" t="s">
        <v>35</v>
      </c>
    </row>
    <row r="12" spans="2:7" hidden="1" x14ac:dyDescent="0.2">
      <c r="B12">
        <v>9</v>
      </c>
      <c r="C12">
        <v>4.4000000000000004</v>
      </c>
      <c r="D12">
        <v>2.9</v>
      </c>
      <c r="E12">
        <v>1.4</v>
      </c>
      <c r="F12">
        <v>0.2</v>
      </c>
      <c r="G12" t="s">
        <v>35</v>
      </c>
    </row>
    <row r="13" spans="2:7" hidden="1" x14ac:dyDescent="0.2">
      <c r="B13">
        <v>10</v>
      </c>
      <c r="C13">
        <v>4.9000000000000004</v>
      </c>
      <c r="D13">
        <v>3.1</v>
      </c>
      <c r="E13">
        <v>1.5</v>
      </c>
      <c r="F13">
        <v>0.1</v>
      </c>
      <c r="G13" t="s">
        <v>35</v>
      </c>
    </row>
    <row r="14" spans="2:7" hidden="1" x14ac:dyDescent="0.2">
      <c r="B14">
        <v>11</v>
      </c>
      <c r="C14">
        <v>5.4</v>
      </c>
      <c r="D14">
        <v>3.7</v>
      </c>
      <c r="E14">
        <v>1.5</v>
      </c>
      <c r="F14">
        <v>0.2</v>
      </c>
      <c r="G14" t="s">
        <v>35</v>
      </c>
    </row>
    <row r="15" spans="2:7" hidden="1" x14ac:dyDescent="0.2">
      <c r="B15">
        <v>12</v>
      </c>
      <c r="C15">
        <v>4.8</v>
      </c>
      <c r="D15">
        <v>3.4</v>
      </c>
      <c r="E15">
        <v>1.6</v>
      </c>
      <c r="F15">
        <v>0.2</v>
      </c>
      <c r="G15" t="s">
        <v>35</v>
      </c>
    </row>
    <row r="16" spans="2:7" hidden="1" x14ac:dyDescent="0.2">
      <c r="B16">
        <v>13</v>
      </c>
      <c r="C16">
        <v>4.8</v>
      </c>
      <c r="D16">
        <v>3</v>
      </c>
      <c r="E16">
        <v>1.4</v>
      </c>
      <c r="F16">
        <v>0.1</v>
      </c>
      <c r="G16" t="s">
        <v>35</v>
      </c>
    </row>
    <row r="17" spans="2:7" hidden="1" x14ac:dyDescent="0.2">
      <c r="B17">
        <v>14</v>
      </c>
      <c r="C17">
        <v>4.3</v>
      </c>
      <c r="D17">
        <v>3</v>
      </c>
      <c r="E17">
        <v>1.1000000000000001</v>
      </c>
      <c r="F17">
        <v>0.1</v>
      </c>
      <c r="G17" t="s">
        <v>35</v>
      </c>
    </row>
    <row r="18" spans="2:7" hidden="1" x14ac:dyDescent="0.2">
      <c r="B18">
        <v>15</v>
      </c>
      <c r="C18">
        <v>5.8</v>
      </c>
      <c r="D18">
        <v>4</v>
      </c>
      <c r="E18">
        <v>1.2</v>
      </c>
      <c r="F18">
        <v>0.2</v>
      </c>
      <c r="G18" t="s">
        <v>35</v>
      </c>
    </row>
    <row r="19" spans="2:7" hidden="1" x14ac:dyDescent="0.2">
      <c r="B19">
        <v>16</v>
      </c>
      <c r="C19">
        <v>5.7</v>
      </c>
      <c r="D19">
        <v>4.4000000000000004</v>
      </c>
      <c r="E19">
        <v>1.5</v>
      </c>
      <c r="F19">
        <v>0.4</v>
      </c>
      <c r="G19" t="s">
        <v>35</v>
      </c>
    </row>
    <row r="20" spans="2:7" hidden="1" x14ac:dyDescent="0.2">
      <c r="B20">
        <v>17</v>
      </c>
      <c r="C20">
        <v>5.4</v>
      </c>
      <c r="D20">
        <v>3.9</v>
      </c>
      <c r="E20">
        <v>1.3</v>
      </c>
      <c r="F20">
        <v>0.4</v>
      </c>
      <c r="G20" t="s">
        <v>35</v>
      </c>
    </row>
    <row r="21" spans="2:7" hidden="1" x14ac:dyDescent="0.2">
      <c r="B21">
        <v>18</v>
      </c>
      <c r="C21">
        <v>5.0999999999999996</v>
      </c>
      <c r="D21">
        <v>3.5</v>
      </c>
      <c r="E21">
        <v>1.4</v>
      </c>
      <c r="F21">
        <v>0.3</v>
      </c>
      <c r="G21" t="s">
        <v>35</v>
      </c>
    </row>
    <row r="22" spans="2:7" hidden="1" x14ac:dyDescent="0.2">
      <c r="B22">
        <v>19</v>
      </c>
      <c r="C22">
        <v>5.7</v>
      </c>
      <c r="D22">
        <v>3.8</v>
      </c>
      <c r="E22">
        <v>1.7</v>
      </c>
      <c r="F22">
        <v>0.3</v>
      </c>
      <c r="G22" t="s">
        <v>35</v>
      </c>
    </row>
    <row r="23" spans="2:7" hidden="1" x14ac:dyDescent="0.2">
      <c r="B23">
        <v>20</v>
      </c>
      <c r="C23">
        <v>5.0999999999999996</v>
      </c>
      <c r="D23">
        <v>3.8</v>
      </c>
      <c r="E23">
        <v>1.5</v>
      </c>
      <c r="F23">
        <v>0.3</v>
      </c>
      <c r="G23" t="s">
        <v>35</v>
      </c>
    </row>
    <row r="24" spans="2:7" hidden="1" x14ac:dyDescent="0.2">
      <c r="B24">
        <v>21</v>
      </c>
      <c r="C24">
        <v>5.4</v>
      </c>
      <c r="D24">
        <v>3.4</v>
      </c>
      <c r="E24">
        <v>1.7</v>
      </c>
      <c r="F24">
        <v>0.2</v>
      </c>
      <c r="G24" t="s">
        <v>35</v>
      </c>
    </row>
    <row r="25" spans="2:7" hidden="1" x14ac:dyDescent="0.2">
      <c r="B25">
        <v>22</v>
      </c>
      <c r="C25">
        <v>5.0999999999999996</v>
      </c>
      <c r="D25">
        <v>3.7</v>
      </c>
      <c r="E25">
        <v>1.5</v>
      </c>
      <c r="F25">
        <v>0.4</v>
      </c>
      <c r="G25" t="s">
        <v>35</v>
      </c>
    </row>
    <row r="26" spans="2:7" hidden="1" x14ac:dyDescent="0.2">
      <c r="B26">
        <v>23</v>
      </c>
      <c r="C26">
        <v>4.5999999999999996</v>
      </c>
      <c r="D26">
        <v>3.6</v>
      </c>
      <c r="E26">
        <v>1</v>
      </c>
      <c r="F26">
        <v>0.2</v>
      </c>
      <c r="G26" t="s">
        <v>35</v>
      </c>
    </row>
    <row r="27" spans="2:7" hidden="1" x14ac:dyDescent="0.2">
      <c r="B27">
        <v>24</v>
      </c>
      <c r="C27">
        <v>5.0999999999999996</v>
      </c>
      <c r="D27">
        <v>3.3</v>
      </c>
      <c r="E27">
        <v>1.7</v>
      </c>
      <c r="F27">
        <v>0.5</v>
      </c>
      <c r="G27" t="s">
        <v>35</v>
      </c>
    </row>
    <row r="28" spans="2:7" hidden="1" x14ac:dyDescent="0.2">
      <c r="B28">
        <v>25</v>
      </c>
      <c r="C28">
        <v>4.8</v>
      </c>
      <c r="D28">
        <v>3.4</v>
      </c>
      <c r="E28">
        <v>1.9</v>
      </c>
      <c r="F28">
        <v>0.2</v>
      </c>
      <c r="G28" t="s">
        <v>35</v>
      </c>
    </row>
    <row r="29" spans="2:7" hidden="1" x14ac:dyDescent="0.2">
      <c r="B29">
        <v>26</v>
      </c>
      <c r="C29">
        <v>5</v>
      </c>
      <c r="D29">
        <v>3</v>
      </c>
      <c r="E29">
        <v>1.6</v>
      </c>
      <c r="F29">
        <v>0.2</v>
      </c>
      <c r="G29" t="s">
        <v>35</v>
      </c>
    </row>
    <row r="30" spans="2:7" hidden="1" x14ac:dyDescent="0.2">
      <c r="B30">
        <v>27</v>
      </c>
      <c r="C30">
        <v>5</v>
      </c>
      <c r="D30">
        <v>3.4</v>
      </c>
      <c r="E30">
        <v>1.6</v>
      </c>
      <c r="F30">
        <v>0.4</v>
      </c>
      <c r="G30" t="s">
        <v>35</v>
      </c>
    </row>
    <row r="31" spans="2:7" x14ac:dyDescent="0.2">
      <c r="B31">
        <v>28</v>
      </c>
      <c r="C31">
        <v>5.2</v>
      </c>
      <c r="D31">
        <v>3.5</v>
      </c>
      <c r="E31">
        <v>1.5</v>
      </c>
      <c r="F31">
        <v>0.2</v>
      </c>
      <c r="G31" t="s">
        <v>35</v>
      </c>
    </row>
    <row r="32" spans="2:7" hidden="1" x14ac:dyDescent="0.2">
      <c r="B32">
        <v>29</v>
      </c>
      <c r="C32">
        <v>5.2</v>
      </c>
      <c r="D32">
        <v>3.4</v>
      </c>
      <c r="E32">
        <v>1.4</v>
      </c>
      <c r="F32">
        <v>0.2</v>
      </c>
      <c r="G32" t="s">
        <v>35</v>
      </c>
    </row>
    <row r="33" spans="2:7" hidden="1" x14ac:dyDescent="0.2">
      <c r="B33">
        <v>30</v>
      </c>
      <c r="C33">
        <v>4.7</v>
      </c>
      <c r="D33">
        <v>3.2</v>
      </c>
      <c r="E33">
        <v>1.6</v>
      </c>
      <c r="F33">
        <v>0.2</v>
      </c>
      <c r="G33" t="s">
        <v>35</v>
      </c>
    </row>
    <row r="34" spans="2:7" hidden="1" x14ac:dyDescent="0.2">
      <c r="B34">
        <v>31</v>
      </c>
      <c r="C34">
        <v>4.8</v>
      </c>
      <c r="D34">
        <v>3.1</v>
      </c>
      <c r="E34">
        <v>1.6</v>
      </c>
      <c r="F34">
        <v>0.2</v>
      </c>
      <c r="G34" t="s">
        <v>35</v>
      </c>
    </row>
    <row r="35" spans="2:7" hidden="1" x14ac:dyDescent="0.2">
      <c r="B35">
        <v>32</v>
      </c>
      <c r="C35">
        <v>5.4</v>
      </c>
      <c r="D35">
        <v>3.4</v>
      </c>
      <c r="E35">
        <v>1.5</v>
      </c>
      <c r="F35">
        <v>0.4</v>
      </c>
      <c r="G35" t="s">
        <v>35</v>
      </c>
    </row>
    <row r="36" spans="2:7" hidden="1" x14ac:dyDescent="0.2">
      <c r="B36">
        <v>33</v>
      </c>
      <c r="C36">
        <v>5.2</v>
      </c>
      <c r="D36">
        <v>4.0999999999999996</v>
      </c>
      <c r="E36">
        <v>1.5</v>
      </c>
      <c r="F36">
        <v>0.1</v>
      </c>
      <c r="G36" t="s">
        <v>35</v>
      </c>
    </row>
    <row r="37" spans="2:7" hidden="1" x14ac:dyDescent="0.2">
      <c r="B37">
        <v>34</v>
      </c>
      <c r="C37">
        <v>5.5</v>
      </c>
      <c r="D37">
        <v>4.2</v>
      </c>
      <c r="E37">
        <v>1.4</v>
      </c>
      <c r="F37">
        <v>0.2</v>
      </c>
      <c r="G37" t="s">
        <v>35</v>
      </c>
    </row>
    <row r="38" spans="2:7" hidden="1" x14ac:dyDescent="0.2">
      <c r="B38">
        <v>35</v>
      </c>
      <c r="C38">
        <v>4.9000000000000004</v>
      </c>
      <c r="D38">
        <v>3.1</v>
      </c>
      <c r="E38">
        <v>1.5</v>
      </c>
      <c r="F38">
        <v>0.1</v>
      </c>
      <c r="G38" t="s">
        <v>35</v>
      </c>
    </row>
    <row r="39" spans="2:7" hidden="1" x14ac:dyDescent="0.2">
      <c r="B39">
        <v>36</v>
      </c>
      <c r="C39">
        <v>5</v>
      </c>
      <c r="D39">
        <v>3.2</v>
      </c>
      <c r="E39">
        <v>1.2</v>
      </c>
      <c r="F39">
        <v>0.2</v>
      </c>
      <c r="G39" t="s">
        <v>35</v>
      </c>
    </row>
    <row r="40" spans="2:7" x14ac:dyDescent="0.2">
      <c r="B40">
        <v>37</v>
      </c>
      <c r="C40">
        <v>5.5</v>
      </c>
      <c r="D40">
        <v>3.5</v>
      </c>
      <c r="E40">
        <v>1.3</v>
      </c>
      <c r="F40">
        <v>0.2</v>
      </c>
      <c r="G40" t="s">
        <v>35</v>
      </c>
    </row>
    <row r="41" spans="2:7" hidden="1" x14ac:dyDescent="0.2">
      <c r="B41">
        <v>38</v>
      </c>
      <c r="C41">
        <v>4.9000000000000004</v>
      </c>
      <c r="D41">
        <v>3.1</v>
      </c>
      <c r="E41">
        <v>1.5</v>
      </c>
      <c r="F41">
        <v>0.1</v>
      </c>
      <c r="G41" t="s">
        <v>35</v>
      </c>
    </row>
    <row r="42" spans="2:7" hidden="1" x14ac:dyDescent="0.2">
      <c r="B42">
        <v>39</v>
      </c>
      <c r="C42">
        <v>4.4000000000000004</v>
      </c>
      <c r="D42">
        <v>3</v>
      </c>
      <c r="E42">
        <v>1.3</v>
      </c>
      <c r="F42">
        <v>0.2</v>
      </c>
      <c r="G42" t="s">
        <v>35</v>
      </c>
    </row>
    <row r="43" spans="2:7" hidden="1" x14ac:dyDescent="0.2">
      <c r="B43">
        <v>40</v>
      </c>
      <c r="C43">
        <v>5.0999999999999996</v>
      </c>
      <c r="D43">
        <v>3.4</v>
      </c>
      <c r="E43">
        <v>1.5</v>
      </c>
      <c r="F43">
        <v>0.2</v>
      </c>
      <c r="G43" t="s">
        <v>35</v>
      </c>
    </row>
    <row r="44" spans="2:7" hidden="1" x14ac:dyDescent="0.2">
      <c r="B44">
        <v>41</v>
      </c>
      <c r="C44">
        <v>5</v>
      </c>
      <c r="D44">
        <v>3.5</v>
      </c>
      <c r="E44">
        <v>1.3</v>
      </c>
      <c r="F44">
        <v>0.3</v>
      </c>
      <c r="G44" t="s">
        <v>35</v>
      </c>
    </row>
    <row r="45" spans="2:7" hidden="1" x14ac:dyDescent="0.2">
      <c r="B45">
        <v>42</v>
      </c>
      <c r="C45">
        <v>4.5</v>
      </c>
      <c r="D45">
        <v>2.2999999999999998</v>
      </c>
      <c r="E45">
        <v>1.3</v>
      </c>
      <c r="F45">
        <v>0.3</v>
      </c>
      <c r="G45" t="s">
        <v>35</v>
      </c>
    </row>
    <row r="46" spans="2:7" hidden="1" x14ac:dyDescent="0.2">
      <c r="B46">
        <v>43</v>
      </c>
      <c r="C46">
        <v>4.4000000000000004</v>
      </c>
      <c r="D46">
        <v>3.2</v>
      </c>
      <c r="E46">
        <v>1.3</v>
      </c>
      <c r="F46">
        <v>0.2</v>
      </c>
      <c r="G46" t="s">
        <v>35</v>
      </c>
    </row>
    <row r="47" spans="2:7" hidden="1" x14ac:dyDescent="0.2">
      <c r="B47">
        <v>44</v>
      </c>
      <c r="C47">
        <v>5</v>
      </c>
      <c r="D47">
        <v>3.5</v>
      </c>
      <c r="E47">
        <v>1.6</v>
      </c>
      <c r="F47">
        <v>0.6</v>
      </c>
      <c r="G47" t="s">
        <v>35</v>
      </c>
    </row>
    <row r="48" spans="2:7" hidden="1" x14ac:dyDescent="0.2">
      <c r="B48">
        <v>45</v>
      </c>
      <c r="C48">
        <v>5.0999999999999996</v>
      </c>
      <c r="D48">
        <v>3.8</v>
      </c>
      <c r="E48">
        <v>1.9</v>
      </c>
      <c r="F48">
        <v>0.4</v>
      </c>
      <c r="G48" t="s">
        <v>35</v>
      </c>
    </row>
    <row r="49" spans="2:7" hidden="1" x14ac:dyDescent="0.2">
      <c r="B49">
        <v>46</v>
      </c>
      <c r="C49">
        <v>4.8</v>
      </c>
      <c r="D49">
        <v>3</v>
      </c>
      <c r="E49">
        <v>1.4</v>
      </c>
      <c r="F49">
        <v>0.3</v>
      </c>
      <c r="G49" t="s">
        <v>35</v>
      </c>
    </row>
    <row r="50" spans="2:7" hidden="1" x14ac:dyDescent="0.2">
      <c r="B50">
        <v>47</v>
      </c>
      <c r="C50">
        <v>5.0999999999999996</v>
      </c>
      <c r="D50">
        <v>3.8</v>
      </c>
      <c r="E50">
        <v>1.6</v>
      </c>
      <c r="F50">
        <v>0.2</v>
      </c>
      <c r="G50" t="s">
        <v>35</v>
      </c>
    </row>
    <row r="51" spans="2:7" hidden="1" x14ac:dyDescent="0.2">
      <c r="B51">
        <v>48</v>
      </c>
      <c r="C51">
        <v>4.5999999999999996</v>
      </c>
      <c r="D51">
        <v>3.2</v>
      </c>
      <c r="E51">
        <v>1.4</v>
      </c>
      <c r="F51">
        <v>0.2</v>
      </c>
      <c r="G51" t="s">
        <v>35</v>
      </c>
    </row>
    <row r="52" spans="2:7" hidden="1" x14ac:dyDescent="0.2">
      <c r="B52">
        <v>49</v>
      </c>
      <c r="C52">
        <v>5.3</v>
      </c>
      <c r="D52">
        <v>3.7</v>
      </c>
      <c r="E52">
        <v>1.5</v>
      </c>
      <c r="F52">
        <v>0.2</v>
      </c>
      <c r="G52" t="s">
        <v>35</v>
      </c>
    </row>
    <row r="53" spans="2:7" hidden="1" x14ac:dyDescent="0.2">
      <c r="B53">
        <v>50</v>
      </c>
      <c r="C53">
        <v>5</v>
      </c>
      <c r="D53">
        <v>3.3</v>
      </c>
      <c r="E53">
        <v>1.4</v>
      </c>
      <c r="F53">
        <v>0.2</v>
      </c>
      <c r="G53" t="s">
        <v>35</v>
      </c>
    </row>
    <row r="54" spans="2:7" hidden="1" x14ac:dyDescent="0.2">
      <c r="B54">
        <v>51</v>
      </c>
      <c r="C54">
        <v>7</v>
      </c>
      <c r="D54">
        <v>3.2</v>
      </c>
      <c r="E54">
        <v>4.7</v>
      </c>
      <c r="F54">
        <v>1.4</v>
      </c>
      <c r="G54" t="s">
        <v>36</v>
      </c>
    </row>
    <row r="55" spans="2:7" hidden="1" x14ac:dyDescent="0.2">
      <c r="B55">
        <v>52</v>
      </c>
      <c r="C55">
        <v>6.4</v>
      </c>
      <c r="D55">
        <v>3.2</v>
      </c>
      <c r="E55">
        <v>4.5</v>
      </c>
      <c r="F55">
        <v>1.5</v>
      </c>
      <c r="G55" t="s">
        <v>36</v>
      </c>
    </row>
    <row r="56" spans="2:7" hidden="1" x14ac:dyDescent="0.2">
      <c r="B56">
        <v>53</v>
      </c>
      <c r="C56">
        <v>6.9</v>
      </c>
      <c r="D56">
        <v>3.1</v>
      </c>
      <c r="E56">
        <v>4.9000000000000004</v>
      </c>
      <c r="F56">
        <v>1.5</v>
      </c>
      <c r="G56" t="s">
        <v>36</v>
      </c>
    </row>
    <row r="57" spans="2:7" hidden="1" x14ac:dyDescent="0.2">
      <c r="B57">
        <v>54</v>
      </c>
      <c r="C57">
        <v>5.5</v>
      </c>
      <c r="D57">
        <v>2.2999999999999998</v>
      </c>
      <c r="E57">
        <v>4</v>
      </c>
      <c r="F57">
        <v>1.3</v>
      </c>
      <c r="G57" t="s">
        <v>36</v>
      </c>
    </row>
    <row r="58" spans="2:7" hidden="1" x14ac:dyDescent="0.2">
      <c r="B58">
        <v>55</v>
      </c>
      <c r="C58">
        <v>6.5</v>
      </c>
      <c r="D58">
        <v>2.8</v>
      </c>
      <c r="E58">
        <v>4.5999999999999996</v>
      </c>
      <c r="F58">
        <v>1.5</v>
      </c>
      <c r="G58" t="s">
        <v>36</v>
      </c>
    </row>
    <row r="59" spans="2:7" hidden="1" x14ac:dyDescent="0.2">
      <c r="B59">
        <v>56</v>
      </c>
      <c r="C59">
        <v>5.7</v>
      </c>
      <c r="D59">
        <v>2.8</v>
      </c>
      <c r="E59">
        <v>4.5</v>
      </c>
      <c r="F59">
        <v>1.3</v>
      </c>
      <c r="G59" t="s">
        <v>36</v>
      </c>
    </row>
    <row r="60" spans="2:7" hidden="1" x14ac:dyDescent="0.2">
      <c r="B60">
        <v>57</v>
      </c>
      <c r="C60">
        <v>6.3</v>
      </c>
      <c r="D60">
        <v>3.3</v>
      </c>
      <c r="E60">
        <v>4.7</v>
      </c>
      <c r="F60">
        <v>1.6</v>
      </c>
      <c r="G60" t="s">
        <v>36</v>
      </c>
    </row>
    <row r="61" spans="2:7" hidden="1" x14ac:dyDescent="0.2">
      <c r="B61">
        <v>58</v>
      </c>
      <c r="C61">
        <v>4.9000000000000004</v>
      </c>
      <c r="D61">
        <v>2.4</v>
      </c>
      <c r="E61">
        <v>3.3</v>
      </c>
      <c r="F61">
        <v>1</v>
      </c>
      <c r="G61" t="s">
        <v>36</v>
      </c>
    </row>
    <row r="62" spans="2:7" hidden="1" x14ac:dyDescent="0.2">
      <c r="B62">
        <v>59</v>
      </c>
      <c r="C62">
        <v>6.6</v>
      </c>
      <c r="D62">
        <v>2.9</v>
      </c>
      <c r="E62">
        <v>4.5999999999999996</v>
      </c>
      <c r="F62">
        <v>1.3</v>
      </c>
      <c r="G62" t="s">
        <v>36</v>
      </c>
    </row>
    <row r="63" spans="2:7" hidden="1" x14ac:dyDescent="0.2">
      <c r="B63">
        <v>60</v>
      </c>
      <c r="C63">
        <v>5.2</v>
      </c>
      <c r="D63">
        <v>2.7</v>
      </c>
      <c r="E63">
        <v>3.9</v>
      </c>
      <c r="F63">
        <v>1.4</v>
      </c>
      <c r="G63" t="s">
        <v>36</v>
      </c>
    </row>
    <row r="64" spans="2:7" hidden="1" x14ac:dyDescent="0.2">
      <c r="B64">
        <v>61</v>
      </c>
      <c r="C64">
        <v>5</v>
      </c>
      <c r="D64">
        <v>2</v>
      </c>
      <c r="E64">
        <v>3.5</v>
      </c>
      <c r="F64">
        <v>1</v>
      </c>
      <c r="G64" t="s">
        <v>36</v>
      </c>
    </row>
    <row r="65" spans="2:7" hidden="1" x14ac:dyDescent="0.2">
      <c r="B65">
        <v>62</v>
      </c>
      <c r="C65">
        <v>5.9</v>
      </c>
      <c r="D65">
        <v>3</v>
      </c>
      <c r="E65">
        <v>4.2</v>
      </c>
      <c r="F65">
        <v>1.5</v>
      </c>
      <c r="G65" t="s">
        <v>36</v>
      </c>
    </row>
    <row r="66" spans="2:7" hidden="1" x14ac:dyDescent="0.2">
      <c r="B66">
        <v>63</v>
      </c>
      <c r="C66">
        <v>6</v>
      </c>
      <c r="D66">
        <v>2.2000000000000002</v>
      </c>
      <c r="E66">
        <v>4</v>
      </c>
      <c r="F66">
        <v>1</v>
      </c>
      <c r="G66" t="s">
        <v>36</v>
      </c>
    </row>
    <row r="67" spans="2:7" hidden="1" x14ac:dyDescent="0.2">
      <c r="B67">
        <v>64</v>
      </c>
      <c r="C67">
        <v>6.1</v>
      </c>
      <c r="D67">
        <v>2.9</v>
      </c>
      <c r="E67">
        <v>4.7</v>
      </c>
      <c r="F67">
        <v>1.4</v>
      </c>
      <c r="G67" t="s">
        <v>36</v>
      </c>
    </row>
    <row r="68" spans="2:7" hidden="1" x14ac:dyDescent="0.2">
      <c r="B68">
        <v>65</v>
      </c>
      <c r="C68">
        <v>5.6</v>
      </c>
      <c r="D68">
        <v>2.9</v>
      </c>
      <c r="E68">
        <v>3.6</v>
      </c>
      <c r="F68">
        <v>1.3</v>
      </c>
      <c r="G68" t="s">
        <v>36</v>
      </c>
    </row>
    <row r="69" spans="2:7" hidden="1" x14ac:dyDescent="0.2">
      <c r="B69">
        <v>66</v>
      </c>
      <c r="C69">
        <v>6.7</v>
      </c>
      <c r="D69">
        <v>3.1</v>
      </c>
      <c r="E69">
        <v>4.4000000000000004</v>
      </c>
      <c r="F69">
        <v>1.4</v>
      </c>
      <c r="G69" t="s">
        <v>36</v>
      </c>
    </row>
    <row r="70" spans="2:7" hidden="1" x14ac:dyDescent="0.2">
      <c r="B70">
        <v>67</v>
      </c>
      <c r="C70">
        <v>5.6</v>
      </c>
      <c r="D70">
        <v>3</v>
      </c>
      <c r="E70">
        <v>4.5</v>
      </c>
      <c r="F70">
        <v>1.5</v>
      </c>
      <c r="G70" t="s">
        <v>36</v>
      </c>
    </row>
    <row r="71" spans="2:7" hidden="1" x14ac:dyDescent="0.2">
      <c r="B71">
        <v>68</v>
      </c>
      <c r="C71">
        <v>5.8</v>
      </c>
      <c r="D71">
        <v>2.7</v>
      </c>
      <c r="E71">
        <v>4.0999999999999996</v>
      </c>
      <c r="F71">
        <v>1</v>
      </c>
      <c r="G71" t="s">
        <v>36</v>
      </c>
    </row>
    <row r="72" spans="2:7" hidden="1" x14ac:dyDescent="0.2">
      <c r="B72">
        <v>69</v>
      </c>
      <c r="C72">
        <v>6.2</v>
      </c>
      <c r="D72">
        <v>2.2000000000000002</v>
      </c>
      <c r="E72">
        <v>4.5</v>
      </c>
      <c r="F72">
        <v>1.5</v>
      </c>
      <c r="G72" t="s">
        <v>36</v>
      </c>
    </row>
    <row r="73" spans="2:7" hidden="1" x14ac:dyDescent="0.2">
      <c r="B73">
        <v>70</v>
      </c>
      <c r="C73">
        <v>5.6</v>
      </c>
      <c r="D73">
        <v>2.5</v>
      </c>
      <c r="E73">
        <v>3.9</v>
      </c>
      <c r="F73">
        <v>1.1000000000000001</v>
      </c>
      <c r="G73" t="s">
        <v>36</v>
      </c>
    </row>
    <row r="74" spans="2:7" hidden="1" x14ac:dyDescent="0.2">
      <c r="B74">
        <v>71</v>
      </c>
      <c r="C74">
        <v>5.9</v>
      </c>
      <c r="D74">
        <v>3.2</v>
      </c>
      <c r="E74">
        <v>4.8</v>
      </c>
      <c r="F74">
        <v>1.8</v>
      </c>
      <c r="G74" t="s">
        <v>36</v>
      </c>
    </row>
    <row r="75" spans="2:7" hidden="1" x14ac:dyDescent="0.2">
      <c r="B75">
        <v>72</v>
      </c>
      <c r="C75">
        <v>6.1</v>
      </c>
      <c r="D75">
        <v>2.8</v>
      </c>
      <c r="E75">
        <v>4</v>
      </c>
      <c r="F75">
        <v>1.3</v>
      </c>
      <c r="G75" t="s">
        <v>36</v>
      </c>
    </row>
    <row r="76" spans="2:7" hidden="1" x14ac:dyDescent="0.2">
      <c r="B76">
        <v>73</v>
      </c>
      <c r="C76">
        <v>6.3</v>
      </c>
      <c r="D76">
        <v>2.5</v>
      </c>
      <c r="E76">
        <v>4.9000000000000004</v>
      </c>
      <c r="F76">
        <v>1.5</v>
      </c>
      <c r="G76" t="s">
        <v>36</v>
      </c>
    </row>
    <row r="77" spans="2:7" hidden="1" x14ac:dyDescent="0.2">
      <c r="B77">
        <v>74</v>
      </c>
      <c r="C77">
        <v>6.1</v>
      </c>
      <c r="D77">
        <v>2.8</v>
      </c>
      <c r="E77">
        <v>4.7</v>
      </c>
      <c r="F77">
        <v>1.2</v>
      </c>
      <c r="G77" t="s">
        <v>36</v>
      </c>
    </row>
    <row r="78" spans="2:7" hidden="1" x14ac:dyDescent="0.2">
      <c r="B78">
        <v>75</v>
      </c>
      <c r="C78">
        <v>6.4</v>
      </c>
      <c r="D78">
        <v>2.9</v>
      </c>
      <c r="E78">
        <v>4.3</v>
      </c>
      <c r="F78">
        <v>1.3</v>
      </c>
      <c r="G78" t="s">
        <v>36</v>
      </c>
    </row>
    <row r="79" spans="2:7" hidden="1" x14ac:dyDescent="0.2">
      <c r="B79">
        <v>76</v>
      </c>
      <c r="C79">
        <v>6.6</v>
      </c>
      <c r="D79">
        <v>3</v>
      </c>
      <c r="E79">
        <v>4.4000000000000004</v>
      </c>
      <c r="F79">
        <v>1.4</v>
      </c>
      <c r="G79" t="s">
        <v>36</v>
      </c>
    </row>
    <row r="80" spans="2:7" hidden="1" x14ac:dyDescent="0.2">
      <c r="B80">
        <v>77</v>
      </c>
      <c r="C80">
        <v>6.8</v>
      </c>
      <c r="D80">
        <v>2.8</v>
      </c>
      <c r="E80">
        <v>4.8</v>
      </c>
      <c r="F80">
        <v>1.4</v>
      </c>
      <c r="G80" t="s">
        <v>36</v>
      </c>
    </row>
    <row r="81" spans="2:7" hidden="1" x14ac:dyDescent="0.2">
      <c r="B81">
        <v>78</v>
      </c>
      <c r="C81">
        <v>6.7</v>
      </c>
      <c r="D81">
        <v>3</v>
      </c>
      <c r="E81">
        <v>5</v>
      </c>
      <c r="F81">
        <v>1.7</v>
      </c>
      <c r="G81" t="s">
        <v>36</v>
      </c>
    </row>
    <row r="82" spans="2:7" hidden="1" x14ac:dyDescent="0.2">
      <c r="B82">
        <v>79</v>
      </c>
      <c r="C82">
        <v>6</v>
      </c>
      <c r="D82">
        <v>2.9</v>
      </c>
      <c r="E82">
        <v>4.5</v>
      </c>
      <c r="F82">
        <v>1.5</v>
      </c>
      <c r="G82" t="s">
        <v>36</v>
      </c>
    </row>
    <row r="83" spans="2:7" hidden="1" x14ac:dyDescent="0.2">
      <c r="B83">
        <v>80</v>
      </c>
      <c r="C83">
        <v>5.7</v>
      </c>
      <c r="D83">
        <v>2.6</v>
      </c>
      <c r="E83">
        <v>3.5</v>
      </c>
      <c r="F83">
        <v>1</v>
      </c>
      <c r="G83" t="s">
        <v>36</v>
      </c>
    </row>
    <row r="84" spans="2:7" hidden="1" x14ac:dyDescent="0.2">
      <c r="B84">
        <v>81</v>
      </c>
      <c r="C84">
        <v>5.5</v>
      </c>
      <c r="D84">
        <v>2.4</v>
      </c>
      <c r="E84">
        <v>3.8</v>
      </c>
      <c r="F84">
        <v>1.1000000000000001</v>
      </c>
      <c r="G84" t="s">
        <v>36</v>
      </c>
    </row>
    <row r="85" spans="2:7" hidden="1" x14ac:dyDescent="0.2">
      <c r="B85">
        <v>82</v>
      </c>
      <c r="C85">
        <v>5.5</v>
      </c>
      <c r="D85">
        <v>2.4</v>
      </c>
      <c r="E85">
        <v>3.7</v>
      </c>
      <c r="F85">
        <v>1</v>
      </c>
      <c r="G85" t="s">
        <v>36</v>
      </c>
    </row>
    <row r="86" spans="2:7" hidden="1" x14ac:dyDescent="0.2">
      <c r="B86">
        <v>83</v>
      </c>
      <c r="C86">
        <v>5.8</v>
      </c>
      <c r="D86">
        <v>2.7</v>
      </c>
      <c r="E86">
        <v>3.9</v>
      </c>
      <c r="F86">
        <v>1.2</v>
      </c>
      <c r="G86" t="s">
        <v>36</v>
      </c>
    </row>
    <row r="87" spans="2:7" hidden="1" x14ac:dyDescent="0.2">
      <c r="B87">
        <v>84</v>
      </c>
      <c r="C87">
        <v>6</v>
      </c>
      <c r="D87">
        <v>2.7</v>
      </c>
      <c r="E87">
        <v>5.0999999999999996</v>
      </c>
      <c r="F87">
        <v>1.6</v>
      </c>
      <c r="G87" t="s">
        <v>36</v>
      </c>
    </row>
    <row r="88" spans="2:7" hidden="1" x14ac:dyDescent="0.2">
      <c r="B88">
        <v>85</v>
      </c>
      <c r="C88">
        <v>5.4</v>
      </c>
      <c r="D88">
        <v>3</v>
      </c>
      <c r="E88">
        <v>4.5</v>
      </c>
      <c r="F88">
        <v>1.5</v>
      </c>
      <c r="G88" t="s">
        <v>36</v>
      </c>
    </row>
    <row r="89" spans="2:7" hidden="1" x14ac:dyDescent="0.2">
      <c r="B89">
        <v>86</v>
      </c>
      <c r="C89">
        <v>6</v>
      </c>
      <c r="D89">
        <v>3.4</v>
      </c>
      <c r="E89">
        <v>4.5</v>
      </c>
      <c r="F89">
        <v>1.6</v>
      </c>
      <c r="G89" t="s">
        <v>36</v>
      </c>
    </row>
    <row r="90" spans="2:7" hidden="1" x14ac:dyDescent="0.2">
      <c r="B90">
        <v>87</v>
      </c>
      <c r="C90">
        <v>6.7</v>
      </c>
      <c r="D90">
        <v>3.1</v>
      </c>
      <c r="E90">
        <v>4.7</v>
      </c>
      <c r="F90">
        <v>1.5</v>
      </c>
      <c r="G90" t="s">
        <v>36</v>
      </c>
    </row>
    <row r="91" spans="2:7" hidden="1" x14ac:dyDescent="0.2">
      <c r="B91">
        <v>88</v>
      </c>
      <c r="C91">
        <v>6.3</v>
      </c>
      <c r="D91">
        <v>2.2999999999999998</v>
      </c>
      <c r="E91">
        <v>4.4000000000000004</v>
      </c>
      <c r="F91">
        <v>1.3</v>
      </c>
      <c r="G91" t="s">
        <v>36</v>
      </c>
    </row>
    <row r="92" spans="2:7" hidden="1" x14ac:dyDescent="0.2">
      <c r="B92">
        <v>89</v>
      </c>
      <c r="C92">
        <v>5.6</v>
      </c>
      <c r="D92">
        <v>3</v>
      </c>
      <c r="E92">
        <v>4.0999999999999996</v>
      </c>
      <c r="F92">
        <v>1.3</v>
      </c>
      <c r="G92" t="s">
        <v>36</v>
      </c>
    </row>
    <row r="93" spans="2:7" hidden="1" x14ac:dyDescent="0.2">
      <c r="B93">
        <v>90</v>
      </c>
      <c r="C93">
        <v>5.5</v>
      </c>
      <c r="D93">
        <v>2.5</v>
      </c>
      <c r="E93">
        <v>4</v>
      </c>
      <c r="F93">
        <v>1.3</v>
      </c>
      <c r="G93" t="s">
        <v>36</v>
      </c>
    </row>
    <row r="94" spans="2:7" hidden="1" x14ac:dyDescent="0.2">
      <c r="B94">
        <v>91</v>
      </c>
      <c r="C94">
        <v>5.5</v>
      </c>
      <c r="D94">
        <v>2.6</v>
      </c>
      <c r="E94">
        <v>4.4000000000000004</v>
      </c>
      <c r="F94">
        <v>1.2</v>
      </c>
      <c r="G94" t="s">
        <v>36</v>
      </c>
    </row>
    <row r="95" spans="2:7" hidden="1" x14ac:dyDescent="0.2">
      <c r="B95">
        <v>92</v>
      </c>
      <c r="C95">
        <v>6.1</v>
      </c>
      <c r="D95">
        <v>3</v>
      </c>
      <c r="E95">
        <v>4.5999999999999996</v>
      </c>
      <c r="F95">
        <v>1.4</v>
      </c>
      <c r="G95" t="s">
        <v>36</v>
      </c>
    </row>
    <row r="96" spans="2:7" hidden="1" x14ac:dyDescent="0.2">
      <c r="B96">
        <v>93</v>
      </c>
      <c r="C96">
        <v>5.8</v>
      </c>
      <c r="D96">
        <v>2.6</v>
      </c>
      <c r="E96">
        <v>4</v>
      </c>
      <c r="F96">
        <v>1.2</v>
      </c>
      <c r="G96" t="s">
        <v>36</v>
      </c>
    </row>
    <row r="97" spans="2:7" hidden="1" x14ac:dyDescent="0.2">
      <c r="B97">
        <v>94</v>
      </c>
      <c r="C97">
        <v>5</v>
      </c>
      <c r="D97">
        <v>2.2999999999999998</v>
      </c>
      <c r="E97">
        <v>3.3</v>
      </c>
      <c r="F97">
        <v>1</v>
      </c>
      <c r="G97" t="s">
        <v>36</v>
      </c>
    </row>
    <row r="98" spans="2:7" hidden="1" x14ac:dyDescent="0.2">
      <c r="B98">
        <v>95</v>
      </c>
      <c r="C98">
        <v>5.6</v>
      </c>
      <c r="D98">
        <v>2.7</v>
      </c>
      <c r="E98">
        <v>4.2</v>
      </c>
      <c r="F98">
        <v>1.3</v>
      </c>
      <c r="G98" t="s">
        <v>36</v>
      </c>
    </row>
    <row r="99" spans="2:7" hidden="1" x14ac:dyDescent="0.2">
      <c r="B99">
        <v>96</v>
      </c>
      <c r="C99">
        <v>5.7</v>
      </c>
      <c r="D99">
        <v>3</v>
      </c>
      <c r="E99">
        <v>4.2</v>
      </c>
      <c r="F99">
        <v>1.2</v>
      </c>
      <c r="G99" t="s">
        <v>36</v>
      </c>
    </row>
    <row r="100" spans="2:7" hidden="1" x14ac:dyDescent="0.2">
      <c r="B100">
        <v>97</v>
      </c>
      <c r="C100">
        <v>5.7</v>
      </c>
      <c r="D100">
        <v>2.9</v>
      </c>
      <c r="E100">
        <v>4.2</v>
      </c>
      <c r="F100">
        <v>1.3</v>
      </c>
      <c r="G100" t="s">
        <v>36</v>
      </c>
    </row>
    <row r="101" spans="2:7" hidden="1" x14ac:dyDescent="0.2">
      <c r="B101">
        <v>98</v>
      </c>
      <c r="C101">
        <v>6.2</v>
      </c>
      <c r="D101">
        <v>2.9</v>
      </c>
      <c r="E101">
        <v>4.3</v>
      </c>
      <c r="F101">
        <v>1.3</v>
      </c>
      <c r="G101" t="s">
        <v>36</v>
      </c>
    </row>
    <row r="102" spans="2:7" hidden="1" x14ac:dyDescent="0.2">
      <c r="B102">
        <v>99</v>
      </c>
      <c r="C102">
        <v>5.0999999999999996</v>
      </c>
      <c r="D102">
        <v>2.5</v>
      </c>
      <c r="E102">
        <v>3</v>
      </c>
      <c r="F102">
        <v>1.1000000000000001</v>
      </c>
      <c r="G102" t="s">
        <v>36</v>
      </c>
    </row>
    <row r="103" spans="2:7" hidden="1" x14ac:dyDescent="0.2">
      <c r="B103">
        <v>100</v>
      </c>
      <c r="C103">
        <v>5.7</v>
      </c>
      <c r="D103">
        <v>2.8</v>
      </c>
      <c r="E103">
        <v>4.0999999999999996</v>
      </c>
      <c r="F103">
        <v>1.3</v>
      </c>
      <c r="G103" t="s">
        <v>36</v>
      </c>
    </row>
    <row r="104" spans="2:7" hidden="1" x14ac:dyDescent="0.2">
      <c r="B104">
        <v>101</v>
      </c>
      <c r="C104">
        <v>6.3</v>
      </c>
      <c r="D104">
        <v>3.3</v>
      </c>
      <c r="E104">
        <v>6</v>
      </c>
      <c r="F104">
        <v>2.5</v>
      </c>
      <c r="G104" t="s">
        <v>37</v>
      </c>
    </row>
    <row r="105" spans="2:7" hidden="1" x14ac:dyDescent="0.2">
      <c r="B105">
        <v>102</v>
      </c>
      <c r="C105">
        <v>5.8</v>
      </c>
      <c r="D105">
        <v>2.7</v>
      </c>
      <c r="E105">
        <v>5.0999999999999996</v>
      </c>
      <c r="F105">
        <v>1.9</v>
      </c>
      <c r="G105" t="s">
        <v>37</v>
      </c>
    </row>
    <row r="106" spans="2:7" hidden="1" x14ac:dyDescent="0.2">
      <c r="B106">
        <v>103</v>
      </c>
      <c r="C106">
        <v>7.1</v>
      </c>
      <c r="D106">
        <v>3</v>
      </c>
      <c r="E106">
        <v>5.9</v>
      </c>
      <c r="F106">
        <v>2.1</v>
      </c>
      <c r="G106" t="s">
        <v>37</v>
      </c>
    </row>
    <row r="107" spans="2:7" hidden="1" x14ac:dyDescent="0.2">
      <c r="B107">
        <v>104</v>
      </c>
      <c r="C107">
        <v>6.3</v>
      </c>
      <c r="D107">
        <v>2.9</v>
      </c>
      <c r="E107">
        <v>5.6</v>
      </c>
      <c r="F107">
        <v>1.8</v>
      </c>
      <c r="G107" t="s">
        <v>37</v>
      </c>
    </row>
    <row r="108" spans="2:7" hidden="1" x14ac:dyDescent="0.2">
      <c r="B108">
        <v>105</v>
      </c>
      <c r="C108">
        <v>6.5</v>
      </c>
      <c r="D108">
        <v>3</v>
      </c>
      <c r="E108">
        <v>5.8</v>
      </c>
      <c r="F108">
        <v>2.2000000000000002</v>
      </c>
      <c r="G108" t="s">
        <v>37</v>
      </c>
    </row>
    <row r="109" spans="2:7" hidden="1" x14ac:dyDescent="0.2">
      <c r="B109">
        <v>106</v>
      </c>
      <c r="C109">
        <v>7.6</v>
      </c>
      <c r="D109">
        <v>3</v>
      </c>
      <c r="E109">
        <v>6.6</v>
      </c>
      <c r="F109">
        <v>2.1</v>
      </c>
      <c r="G109" t="s">
        <v>37</v>
      </c>
    </row>
    <row r="110" spans="2:7" hidden="1" x14ac:dyDescent="0.2">
      <c r="B110">
        <v>107</v>
      </c>
      <c r="C110">
        <v>4.9000000000000004</v>
      </c>
      <c r="D110">
        <v>2.5</v>
      </c>
      <c r="E110">
        <v>4.5</v>
      </c>
      <c r="F110">
        <v>1.7</v>
      </c>
      <c r="G110" t="s">
        <v>37</v>
      </c>
    </row>
    <row r="111" spans="2:7" hidden="1" x14ac:dyDescent="0.2">
      <c r="B111">
        <v>108</v>
      </c>
      <c r="C111">
        <v>7.3</v>
      </c>
      <c r="D111">
        <v>2.9</v>
      </c>
      <c r="E111">
        <v>6.3</v>
      </c>
      <c r="F111">
        <v>1.8</v>
      </c>
      <c r="G111" t="s">
        <v>37</v>
      </c>
    </row>
    <row r="112" spans="2:7" hidden="1" x14ac:dyDescent="0.2">
      <c r="B112">
        <v>109</v>
      </c>
      <c r="C112">
        <v>6.7</v>
      </c>
      <c r="D112">
        <v>2.5</v>
      </c>
      <c r="E112">
        <v>5.8</v>
      </c>
      <c r="F112">
        <v>1.8</v>
      </c>
      <c r="G112" t="s">
        <v>37</v>
      </c>
    </row>
    <row r="113" spans="2:7" hidden="1" x14ac:dyDescent="0.2">
      <c r="B113">
        <v>110</v>
      </c>
      <c r="C113">
        <v>7.2</v>
      </c>
      <c r="D113">
        <v>3.6</v>
      </c>
      <c r="E113">
        <v>6.1</v>
      </c>
      <c r="F113">
        <v>2.5</v>
      </c>
      <c r="G113" t="s">
        <v>37</v>
      </c>
    </row>
    <row r="114" spans="2:7" hidden="1" x14ac:dyDescent="0.2">
      <c r="B114">
        <v>111</v>
      </c>
      <c r="C114">
        <v>6.5</v>
      </c>
      <c r="D114">
        <v>3.2</v>
      </c>
      <c r="E114">
        <v>5.0999999999999996</v>
      </c>
      <c r="F114">
        <v>2</v>
      </c>
      <c r="G114" t="s">
        <v>37</v>
      </c>
    </row>
    <row r="115" spans="2:7" hidden="1" x14ac:dyDescent="0.2">
      <c r="B115">
        <v>112</v>
      </c>
      <c r="C115">
        <v>6.4</v>
      </c>
      <c r="D115">
        <v>2.7</v>
      </c>
      <c r="E115">
        <v>5.3</v>
      </c>
      <c r="F115">
        <v>1.9</v>
      </c>
      <c r="G115" t="s">
        <v>37</v>
      </c>
    </row>
    <row r="116" spans="2:7" hidden="1" x14ac:dyDescent="0.2">
      <c r="B116">
        <v>113</v>
      </c>
      <c r="C116">
        <v>6.8</v>
      </c>
      <c r="D116">
        <v>3</v>
      </c>
      <c r="E116">
        <v>5.5</v>
      </c>
      <c r="F116">
        <v>2.1</v>
      </c>
      <c r="G116" t="s">
        <v>37</v>
      </c>
    </row>
    <row r="117" spans="2:7" hidden="1" x14ac:dyDescent="0.2">
      <c r="B117">
        <v>114</v>
      </c>
      <c r="C117">
        <v>5.7</v>
      </c>
      <c r="D117">
        <v>2.5</v>
      </c>
      <c r="E117">
        <v>5</v>
      </c>
      <c r="F117">
        <v>2</v>
      </c>
      <c r="G117" t="s">
        <v>37</v>
      </c>
    </row>
    <row r="118" spans="2:7" hidden="1" x14ac:dyDescent="0.2">
      <c r="B118">
        <v>115</v>
      </c>
      <c r="C118">
        <v>5.8</v>
      </c>
      <c r="D118">
        <v>2.8</v>
      </c>
      <c r="E118">
        <v>5.0999999999999996</v>
      </c>
      <c r="F118">
        <v>2.4</v>
      </c>
      <c r="G118" t="s">
        <v>37</v>
      </c>
    </row>
    <row r="119" spans="2:7" hidden="1" x14ac:dyDescent="0.2">
      <c r="B119">
        <v>116</v>
      </c>
      <c r="C119">
        <v>6.4</v>
      </c>
      <c r="D119">
        <v>3.2</v>
      </c>
      <c r="E119">
        <v>5.3</v>
      </c>
      <c r="F119">
        <v>2.2999999999999998</v>
      </c>
      <c r="G119" t="s">
        <v>37</v>
      </c>
    </row>
    <row r="120" spans="2:7" hidden="1" x14ac:dyDescent="0.2">
      <c r="B120">
        <v>117</v>
      </c>
      <c r="C120">
        <v>6.5</v>
      </c>
      <c r="D120">
        <v>3</v>
      </c>
      <c r="E120">
        <v>5.5</v>
      </c>
      <c r="F120">
        <v>1.8</v>
      </c>
      <c r="G120" t="s">
        <v>37</v>
      </c>
    </row>
    <row r="121" spans="2:7" hidden="1" x14ac:dyDescent="0.2">
      <c r="B121">
        <v>118</v>
      </c>
      <c r="C121">
        <v>7.7</v>
      </c>
      <c r="D121">
        <v>3.8</v>
      </c>
      <c r="E121">
        <v>6.7</v>
      </c>
      <c r="F121">
        <v>2.2000000000000002</v>
      </c>
      <c r="G121" t="s">
        <v>37</v>
      </c>
    </row>
    <row r="122" spans="2:7" hidden="1" x14ac:dyDescent="0.2">
      <c r="B122">
        <v>119</v>
      </c>
      <c r="C122">
        <v>7.7</v>
      </c>
      <c r="D122">
        <v>2.6</v>
      </c>
      <c r="E122">
        <v>6.9</v>
      </c>
      <c r="F122">
        <v>2.2999999999999998</v>
      </c>
      <c r="G122" t="s">
        <v>37</v>
      </c>
    </row>
    <row r="123" spans="2:7" hidden="1" x14ac:dyDescent="0.2">
      <c r="B123">
        <v>120</v>
      </c>
      <c r="C123">
        <v>6</v>
      </c>
      <c r="D123">
        <v>2.2000000000000002</v>
      </c>
      <c r="E123">
        <v>5</v>
      </c>
      <c r="F123">
        <v>1.5</v>
      </c>
      <c r="G123" t="s">
        <v>37</v>
      </c>
    </row>
    <row r="124" spans="2:7" hidden="1" x14ac:dyDescent="0.2">
      <c r="B124">
        <v>121</v>
      </c>
      <c r="C124">
        <v>6.9</v>
      </c>
      <c r="D124">
        <v>3.2</v>
      </c>
      <c r="E124">
        <v>5.7</v>
      </c>
      <c r="F124">
        <v>2.2999999999999998</v>
      </c>
      <c r="G124" t="s">
        <v>37</v>
      </c>
    </row>
    <row r="125" spans="2:7" hidden="1" x14ac:dyDescent="0.2">
      <c r="B125">
        <v>122</v>
      </c>
      <c r="C125">
        <v>5.6</v>
      </c>
      <c r="D125">
        <v>2.8</v>
      </c>
      <c r="E125">
        <v>4.9000000000000004</v>
      </c>
      <c r="F125">
        <v>2</v>
      </c>
      <c r="G125" t="s">
        <v>37</v>
      </c>
    </row>
    <row r="126" spans="2:7" hidden="1" x14ac:dyDescent="0.2">
      <c r="B126">
        <v>123</v>
      </c>
      <c r="C126">
        <v>7.7</v>
      </c>
      <c r="D126">
        <v>2.8</v>
      </c>
      <c r="E126">
        <v>6.7</v>
      </c>
      <c r="F126">
        <v>2</v>
      </c>
      <c r="G126" t="s">
        <v>37</v>
      </c>
    </row>
    <row r="127" spans="2:7" hidden="1" x14ac:dyDescent="0.2">
      <c r="B127">
        <v>124</v>
      </c>
      <c r="C127">
        <v>6.3</v>
      </c>
      <c r="D127">
        <v>2.7</v>
      </c>
      <c r="E127">
        <v>4.9000000000000004</v>
      </c>
      <c r="F127">
        <v>1.8</v>
      </c>
      <c r="G127" t="s">
        <v>37</v>
      </c>
    </row>
    <row r="128" spans="2:7" hidden="1" x14ac:dyDescent="0.2">
      <c r="B128">
        <v>125</v>
      </c>
      <c r="C128">
        <v>6.7</v>
      </c>
      <c r="D128">
        <v>3.3</v>
      </c>
      <c r="E128">
        <v>5.7</v>
      </c>
      <c r="F128">
        <v>2.1</v>
      </c>
      <c r="G128" t="s">
        <v>37</v>
      </c>
    </row>
    <row r="129" spans="2:7" hidden="1" x14ac:dyDescent="0.2">
      <c r="B129">
        <v>126</v>
      </c>
      <c r="C129">
        <v>7.2</v>
      </c>
      <c r="D129">
        <v>3.2</v>
      </c>
      <c r="E129">
        <v>6</v>
      </c>
      <c r="F129">
        <v>1.8</v>
      </c>
      <c r="G129" t="s">
        <v>37</v>
      </c>
    </row>
    <row r="130" spans="2:7" hidden="1" x14ac:dyDescent="0.2">
      <c r="B130">
        <v>127</v>
      </c>
      <c r="C130">
        <v>6.2</v>
      </c>
      <c r="D130">
        <v>2.8</v>
      </c>
      <c r="E130">
        <v>4.8</v>
      </c>
      <c r="F130">
        <v>1.8</v>
      </c>
      <c r="G130" t="s">
        <v>37</v>
      </c>
    </row>
    <row r="131" spans="2:7" hidden="1" x14ac:dyDescent="0.2">
      <c r="B131">
        <v>128</v>
      </c>
      <c r="C131">
        <v>6.1</v>
      </c>
      <c r="D131">
        <v>3</v>
      </c>
      <c r="E131">
        <v>4.9000000000000004</v>
      </c>
      <c r="F131">
        <v>1.8</v>
      </c>
      <c r="G131" t="s">
        <v>37</v>
      </c>
    </row>
    <row r="132" spans="2:7" hidden="1" x14ac:dyDescent="0.2">
      <c r="B132">
        <v>129</v>
      </c>
      <c r="C132">
        <v>6.4</v>
      </c>
      <c r="D132">
        <v>2.8</v>
      </c>
      <c r="E132">
        <v>5.6</v>
      </c>
      <c r="F132">
        <v>2.1</v>
      </c>
      <c r="G132" t="s">
        <v>37</v>
      </c>
    </row>
    <row r="133" spans="2:7" hidden="1" x14ac:dyDescent="0.2">
      <c r="B133">
        <v>130</v>
      </c>
      <c r="C133">
        <v>7.2</v>
      </c>
      <c r="D133">
        <v>3</v>
      </c>
      <c r="E133">
        <v>5.8</v>
      </c>
      <c r="F133">
        <v>1.6</v>
      </c>
      <c r="G133" t="s">
        <v>37</v>
      </c>
    </row>
    <row r="134" spans="2:7" hidden="1" x14ac:dyDescent="0.2">
      <c r="B134">
        <v>131</v>
      </c>
      <c r="C134">
        <v>7.4</v>
      </c>
      <c r="D134">
        <v>2.8</v>
      </c>
      <c r="E134">
        <v>6.1</v>
      </c>
      <c r="F134">
        <v>1.9</v>
      </c>
      <c r="G134" t="s">
        <v>37</v>
      </c>
    </row>
    <row r="135" spans="2:7" hidden="1" x14ac:dyDescent="0.2">
      <c r="B135">
        <v>132</v>
      </c>
      <c r="C135">
        <v>7.9</v>
      </c>
      <c r="D135">
        <v>3.8</v>
      </c>
      <c r="E135">
        <v>6.4</v>
      </c>
      <c r="F135">
        <v>2</v>
      </c>
      <c r="G135" t="s">
        <v>37</v>
      </c>
    </row>
    <row r="136" spans="2:7" hidden="1" x14ac:dyDescent="0.2">
      <c r="B136">
        <v>133</v>
      </c>
      <c r="C136">
        <v>6.4</v>
      </c>
      <c r="D136">
        <v>2.8</v>
      </c>
      <c r="E136">
        <v>5.6</v>
      </c>
      <c r="F136">
        <v>2.2000000000000002</v>
      </c>
      <c r="G136" t="s">
        <v>37</v>
      </c>
    </row>
    <row r="137" spans="2:7" hidden="1" x14ac:dyDescent="0.2">
      <c r="B137">
        <v>134</v>
      </c>
      <c r="C137">
        <v>6.3</v>
      </c>
      <c r="D137">
        <v>2.8</v>
      </c>
      <c r="E137">
        <v>5.0999999999999996</v>
      </c>
      <c r="F137">
        <v>1.5</v>
      </c>
      <c r="G137" t="s">
        <v>37</v>
      </c>
    </row>
    <row r="138" spans="2:7" hidden="1" x14ac:dyDescent="0.2">
      <c r="B138">
        <v>135</v>
      </c>
      <c r="C138">
        <v>6.1</v>
      </c>
      <c r="D138">
        <v>2.6</v>
      </c>
      <c r="E138">
        <v>5.6</v>
      </c>
      <c r="F138">
        <v>1.4</v>
      </c>
      <c r="G138" t="s">
        <v>37</v>
      </c>
    </row>
    <row r="139" spans="2:7" hidden="1" x14ac:dyDescent="0.2">
      <c r="B139">
        <v>136</v>
      </c>
      <c r="C139">
        <v>7.7</v>
      </c>
      <c r="D139">
        <v>3</v>
      </c>
      <c r="E139">
        <v>6.1</v>
      </c>
      <c r="F139">
        <v>2.2999999999999998</v>
      </c>
      <c r="G139" t="s">
        <v>37</v>
      </c>
    </row>
    <row r="140" spans="2:7" hidden="1" x14ac:dyDescent="0.2">
      <c r="B140">
        <v>137</v>
      </c>
      <c r="C140">
        <v>6.3</v>
      </c>
      <c r="D140">
        <v>3.4</v>
      </c>
      <c r="E140">
        <v>5.6</v>
      </c>
      <c r="F140">
        <v>2.4</v>
      </c>
      <c r="G140" t="s">
        <v>37</v>
      </c>
    </row>
    <row r="141" spans="2:7" hidden="1" x14ac:dyDescent="0.2">
      <c r="B141">
        <v>138</v>
      </c>
      <c r="C141">
        <v>6.4</v>
      </c>
      <c r="D141">
        <v>3.1</v>
      </c>
      <c r="E141">
        <v>5.5</v>
      </c>
      <c r="F141">
        <v>1.8</v>
      </c>
      <c r="G141" t="s">
        <v>37</v>
      </c>
    </row>
    <row r="142" spans="2:7" hidden="1" x14ac:dyDescent="0.2">
      <c r="B142">
        <v>139</v>
      </c>
      <c r="C142">
        <v>6</v>
      </c>
      <c r="D142">
        <v>3</v>
      </c>
      <c r="E142">
        <v>4.8</v>
      </c>
      <c r="F142">
        <v>1.8</v>
      </c>
      <c r="G142" t="s">
        <v>37</v>
      </c>
    </row>
    <row r="143" spans="2:7" hidden="1" x14ac:dyDescent="0.2">
      <c r="B143">
        <v>140</v>
      </c>
      <c r="C143">
        <v>6.9</v>
      </c>
      <c r="D143">
        <v>3.1</v>
      </c>
      <c r="E143">
        <v>5.4</v>
      </c>
      <c r="F143">
        <v>2.1</v>
      </c>
      <c r="G143" t="s">
        <v>37</v>
      </c>
    </row>
    <row r="144" spans="2:7" hidden="1" x14ac:dyDescent="0.2">
      <c r="B144">
        <v>141</v>
      </c>
      <c r="C144">
        <v>6.7</v>
      </c>
      <c r="D144">
        <v>3.1</v>
      </c>
      <c r="E144">
        <v>5.6</v>
      </c>
      <c r="F144">
        <v>2.4</v>
      </c>
      <c r="G144" t="s">
        <v>37</v>
      </c>
    </row>
    <row r="145" spans="2:7" hidden="1" x14ac:dyDescent="0.2">
      <c r="B145">
        <v>142</v>
      </c>
      <c r="C145">
        <v>6.9</v>
      </c>
      <c r="D145">
        <v>3.1</v>
      </c>
      <c r="E145">
        <v>5.0999999999999996</v>
      </c>
      <c r="F145">
        <v>2.2999999999999998</v>
      </c>
      <c r="G145" t="s">
        <v>37</v>
      </c>
    </row>
    <row r="146" spans="2:7" hidden="1" x14ac:dyDescent="0.2">
      <c r="B146">
        <v>143</v>
      </c>
      <c r="C146">
        <v>5.8</v>
      </c>
      <c r="D146">
        <v>2.7</v>
      </c>
      <c r="E146">
        <v>5.0999999999999996</v>
      </c>
      <c r="F146">
        <v>1.9</v>
      </c>
      <c r="G146" t="s">
        <v>37</v>
      </c>
    </row>
    <row r="147" spans="2:7" hidden="1" x14ac:dyDescent="0.2">
      <c r="B147">
        <v>144</v>
      </c>
      <c r="C147">
        <v>6.8</v>
      </c>
      <c r="D147">
        <v>3.2</v>
      </c>
      <c r="E147">
        <v>5.9</v>
      </c>
      <c r="F147">
        <v>2.2999999999999998</v>
      </c>
      <c r="G147" t="s">
        <v>37</v>
      </c>
    </row>
    <row r="148" spans="2:7" hidden="1" x14ac:dyDescent="0.2">
      <c r="B148">
        <v>145</v>
      </c>
      <c r="C148">
        <v>6.7</v>
      </c>
      <c r="D148">
        <v>3.3</v>
      </c>
      <c r="E148">
        <v>5.7</v>
      </c>
      <c r="F148">
        <v>2.5</v>
      </c>
      <c r="G148" t="s">
        <v>37</v>
      </c>
    </row>
    <row r="149" spans="2:7" hidden="1" x14ac:dyDescent="0.2">
      <c r="B149">
        <v>146</v>
      </c>
      <c r="C149">
        <v>6.7</v>
      </c>
      <c r="D149">
        <v>3</v>
      </c>
      <c r="E149">
        <v>5.2</v>
      </c>
      <c r="F149">
        <v>2.2999999999999998</v>
      </c>
      <c r="G149" t="s">
        <v>37</v>
      </c>
    </row>
    <row r="150" spans="2:7" hidden="1" x14ac:dyDescent="0.2">
      <c r="B150">
        <v>147</v>
      </c>
      <c r="C150">
        <v>6.3</v>
      </c>
      <c r="D150">
        <v>2.5</v>
      </c>
      <c r="E150">
        <v>5</v>
      </c>
      <c r="F150">
        <v>1.9</v>
      </c>
      <c r="G150" t="s">
        <v>37</v>
      </c>
    </row>
    <row r="151" spans="2:7" hidden="1" x14ac:dyDescent="0.2">
      <c r="B151">
        <v>148</v>
      </c>
      <c r="C151">
        <v>6.5</v>
      </c>
      <c r="D151">
        <v>3</v>
      </c>
      <c r="E151">
        <v>5.2</v>
      </c>
      <c r="F151">
        <v>2</v>
      </c>
      <c r="G151" t="s">
        <v>37</v>
      </c>
    </row>
    <row r="152" spans="2:7" hidden="1" x14ac:dyDescent="0.2">
      <c r="B152">
        <v>149</v>
      </c>
      <c r="C152">
        <v>6.2</v>
      </c>
      <c r="D152">
        <v>3.4</v>
      </c>
      <c r="E152">
        <v>5.4</v>
      </c>
      <c r="F152">
        <v>2.2999999999999998</v>
      </c>
      <c r="G152" t="s">
        <v>37</v>
      </c>
    </row>
    <row r="153" spans="2:7" hidden="1" x14ac:dyDescent="0.2">
      <c r="B153">
        <v>150</v>
      </c>
      <c r="C153">
        <v>5.9</v>
      </c>
      <c r="D153">
        <v>3</v>
      </c>
      <c r="E153">
        <v>5.0999999999999996</v>
      </c>
      <c r="F153">
        <v>1.8</v>
      </c>
      <c r="G153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9D9C81E838C74F985EEA30EC4BB229" ma:contentTypeVersion="13" ma:contentTypeDescription="Create a new document." ma:contentTypeScope="" ma:versionID="b52a625ef22c76096cefa2e648bf2a86">
  <xsd:schema xmlns:xsd="http://www.w3.org/2001/XMLSchema" xmlns:xs="http://www.w3.org/2001/XMLSchema" xmlns:p="http://schemas.microsoft.com/office/2006/metadata/properties" xmlns:ns3="38ba4c33-77d7-48b1-9088-3ac9cbe3275a" xmlns:ns4="2fb9d49a-94b6-4702-8584-f5659814f446" targetNamespace="http://schemas.microsoft.com/office/2006/metadata/properties" ma:root="true" ma:fieldsID="8aa351faeec03d5dfad9f95c271b92fd" ns3:_="" ns4:_="">
    <xsd:import namespace="38ba4c33-77d7-48b1-9088-3ac9cbe3275a"/>
    <xsd:import namespace="2fb9d49a-94b6-4702-8584-f5659814f4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a4c33-77d7-48b1-9088-3ac9cbe32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9d49a-94b6-4702-8584-f5659814f4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5BEC95-6478-4D3D-A44F-49B09E1689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CED38C-EB4B-46ED-BC79-64E102B692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ba4c33-77d7-48b1-9088-3ac9cbe3275a"/>
    <ds:schemaRef ds:uri="2fb9d49a-94b6-4702-8584-f5659814f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6AFCA7-EBBE-4B32-9639-33689FC3258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2fb9d49a-94b6-4702-8584-f5659814f446"/>
    <ds:schemaRef ds:uri="http://purl.org/dc/elements/1.1/"/>
    <ds:schemaRef ds:uri="http://schemas.microsoft.com/office/2006/metadata/properties"/>
    <ds:schemaRef ds:uri="38ba4c33-77d7-48b1-9088-3ac9cbe3275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kNN on mini-iris</vt:lpstr>
      <vt:lpstr>kNN on normalised mini-iris</vt:lpstr>
      <vt:lpstr>iris_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Abdulrahman Altahhan</dc:creator>
  <cp:keywords/>
  <dc:description/>
  <cp:lastModifiedBy>Abdulrahman Altahhan</cp:lastModifiedBy>
  <cp:revision/>
  <dcterms:created xsi:type="dcterms:W3CDTF">2021-04-26T10:04:03Z</dcterms:created>
  <dcterms:modified xsi:type="dcterms:W3CDTF">2021-06-09T18:17:14Z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0x010100749D9C81E838C74F985EEA30EC4BB229</vt:lpwstr>
  </property>
</Properties>
</file>